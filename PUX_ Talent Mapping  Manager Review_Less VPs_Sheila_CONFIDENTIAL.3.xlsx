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5"/>
  <workbookPr/>
  <mc:AlternateContent xmlns:mc="http://schemas.openxmlformats.org/markup-compatibility/2006">
    <mc:Choice Requires="x15">
      <x15ac:absPath xmlns:x15ac="http://schemas.microsoft.com/office/spreadsheetml/2010/11/ac" url="https://alteryx0-my.sharepoint.com/personal/ayx105821_alteryx_com/Documents/"/>
    </mc:Choice>
  </mc:AlternateContent>
  <xr:revisionPtr revIDLastSave="0" documentId="8_{73D3DE08-8A64-4F61-96A6-A7023290F73C}" xr6:coauthVersionLast="47" xr6:coauthVersionMax="47" xr10:uidLastSave="{00000000-0000-0000-0000-000000000000}"/>
  <bookViews>
    <workbookView xWindow="0" yWindow="760" windowWidth="34560" windowHeight="19880" firstSheet="2" activeTab="2" xr2:uid="{00000000-000D-0000-FFFF-FFFF00000000}"/>
  </bookViews>
  <sheets>
    <sheet name="Definitions &amp; Instructions" sheetId="4" r:id="rId1"/>
    <sheet name="PUX Mgrs " sheetId="1" r:id="rId2"/>
    <sheet name="Pivot" sheetId="6" r:id="rId3"/>
    <sheet name="Excel Table (Do Not Format)" sheetId="2" state="hidden" r:id="rId4"/>
  </sheets>
  <definedNames>
    <definedName name="_xlnm._FilterDatabase" localSheetId="0" hidden="1">'Definitions &amp; Instructions'!$A$11:$D$11</definedName>
    <definedName name="_xlnm._FilterDatabase" localSheetId="3" hidden="1">'Excel Table (Do Not Format)'!$A$2:$D$10</definedName>
    <definedName name="_xlnm._FilterDatabase" localSheetId="1" hidden="1">'PUX Mgrs '!$A$1:$X$1</definedName>
    <definedName name="Yes">'PUX Mgrs '!#REF!</definedName>
  </definedNames>
  <calcPr calcId="191028"/>
  <pivotCaches>
    <pivotCache cacheId="162"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7" i="1" l="1" a="1"/>
  <c r="N7" i="1"/>
  <c r="P2" i="1"/>
  <c r="Q2" i="1"/>
  <c r="R2" i="1"/>
  <c r="P3" i="1"/>
  <c r="Q3" i="1"/>
  <c r="R3" i="1"/>
  <c r="P4" i="1"/>
  <c r="Q4" i="1"/>
  <c r="R4" i="1"/>
  <c r="P5" i="1"/>
  <c r="Q5" i="1"/>
  <c r="R5" i="1"/>
  <c r="P6" i="1"/>
  <c r="Q6" i="1"/>
  <c r="R6" i="1"/>
  <c r="P7" i="1"/>
  <c r="Q7" i="1"/>
  <c r="R7" i="1"/>
  <c r="P8" i="1"/>
  <c r="Q8" i="1"/>
  <c r="R8" i="1"/>
  <c r="P9" i="1"/>
  <c r="Q9" i="1"/>
  <c r="R9" i="1"/>
  <c r="P10" i="1"/>
  <c r="Q10" i="1"/>
  <c r="R10" i="1"/>
  <c r="P11" i="1"/>
  <c r="Q11" i="1"/>
  <c r="R11" i="1"/>
  <c r="P12" i="1"/>
  <c r="Q12" i="1"/>
  <c r="R12" i="1"/>
  <c r="P13" i="1"/>
  <c r="Q13" i="1"/>
  <c r="R13" i="1"/>
  <c r="P14" i="1"/>
  <c r="Q14" i="1"/>
  <c r="R14" i="1"/>
  <c r="P15" i="1"/>
  <c r="Q15" i="1"/>
  <c r="R15" i="1"/>
  <c r="P16" i="1"/>
  <c r="Q16" i="1"/>
  <c r="R16" i="1"/>
  <c r="P17" i="1"/>
  <c r="Q17" i="1"/>
  <c r="R17" i="1"/>
  <c r="P18" i="1"/>
  <c r="Q18" i="1"/>
  <c r="R18" i="1"/>
  <c r="N18" i="1" a="1"/>
  <c r="N18" i="1" s="1"/>
  <c r="N17" i="1" a="1"/>
  <c r="N17" i="1" s="1"/>
  <c r="N15" i="1" a="1"/>
  <c r="N15" i="1" s="1"/>
  <c r="N14" i="1" a="1"/>
  <c r="N14" i="1" s="1"/>
  <c r="N13" i="1" a="1"/>
  <c r="N13" i="1" s="1"/>
  <c r="N12" i="1" a="1"/>
  <c r="N12" i="1" s="1"/>
  <c r="N11" i="1" a="1"/>
  <c r="N11" i="1" s="1"/>
  <c r="N10" i="1" a="1"/>
  <c r="N10" i="1" s="1"/>
  <c r="N9" i="1" a="1"/>
  <c r="N9" i="1" s="1"/>
  <c r="N8" i="1" a="1"/>
  <c r="N8" i="1" s="1"/>
  <c r="N6" i="1" a="1"/>
  <c r="N6" i="1" s="1"/>
  <c r="N3" i="1" a="1"/>
  <c r="N3" i="1" s="1"/>
  <c r="N2" i="1" a="1"/>
  <c r="N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<sst xmlns="http://schemas.openxmlformats.org/spreadsheetml/2006/main" count="531" uniqueCount="269">
  <si>
    <t>Instructions:</t>
  </si>
  <si>
    <r>
      <t xml:space="preserve">Note the most current trending rating from Aug 25,  for your </t>
    </r>
    <r>
      <rPr>
        <b/>
        <sz val="14"/>
        <color rgb="FF000000"/>
        <rFont val="Aptos Narrow"/>
        <scheme val="minor"/>
      </rPr>
      <t>Employee in column L ,M, N (PLEASE DO NOT CHANGE)  .</t>
    </r>
    <r>
      <rPr>
        <sz val="14"/>
        <color rgb="FF000000"/>
        <rFont val="Aptos Narrow"/>
        <scheme val="minor"/>
      </rPr>
      <t xml:space="preserve">  </t>
    </r>
    <r>
      <rPr>
        <b/>
        <sz val="14"/>
        <color rgb="FF000000"/>
        <rFont val="Aptos Narrow"/>
        <scheme val="minor"/>
      </rPr>
      <t xml:space="preserve">Column O is  pre-seeded with Aug  25 Talent Assessment Mappings and will be discussed during PUX Calibration  Tues.Dec 2 , please modify based upon a combination of observations and feedback received . </t>
    </r>
  </si>
  <si>
    <r>
      <t xml:space="preserve">The columns </t>
    </r>
    <r>
      <rPr>
        <b/>
        <sz val="14"/>
        <color rgb="FF000000"/>
        <rFont val="Aptos Narrow"/>
        <family val="2"/>
        <scheme val="minor"/>
      </rPr>
      <t xml:space="preserve">M, N and O </t>
    </r>
    <r>
      <rPr>
        <sz val="14"/>
        <color rgb="FF000000"/>
        <rFont val="Aptos Narrow"/>
        <family val="2"/>
        <scheme val="minor"/>
      </rPr>
      <t>will auto-populate to help you decide if the performance vs the potential has been accurately plotted per the definitions.</t>
    </r>
  </si>
  <si>
    <t xml:space="preserve">Add notes on where you need support from the discussion or if you want to call out any feedback in advance of the discussion. For example: if someone new in role has been rated Strong or Needs Focus or will be presented for a promotion </t>
  </si>
  <si>
    <r>
      <rPr>
        <b/>
        <sz val="16"/>
        <color theme="1"/>
        <rFont val="Aptos Narrow (Body)"/>
      </rPr>
      <t>Performance:</t>
    </r>
    <r>
      <rPr>
        <sz val="12"/>
        <color theme="1"/>
        <rFont val="Aptos Narrow"/>
        <family val="2"/>
        <scheme val="minor"/>
      </rPr>
      <t xml:space="preserve"> Consistency and level of impact in current and past roles (Low / Medium / High).</t>
    </r>
  </si>
  <si>
    <r>
      <rPr>
        <b/>
        <sz val="16"/>
        <color theme="1"/>
        <rFont val="Aptos Narrow (Body)"/>
      </rPr>
      <t>Potential:</t>
    </r>
    <r>
      <rPr>
        <sz val="16"/>
        <color theme="1"/>
        <rFont val="Aptos Narrow (Body)"/>
      </rPr>
      <t xml:space="preserve"> </t>
    </r>
    <r>
      <rPr>
        <sz val="12"/>
        <color theme="1"/>
        <rFont val="Aptos Narrow"/>
        <family val="2"/>
        <scheme val="minor"/>
      </rPr>
      <t>Likelihood of success in more complex or senior roles (Low / Medium / High).</t>
    </r>
  </si>
  <si>
    <t xml:space="preserve">FY25 Talent Indicator </t>
  </si>
  <si>
    <t xml:space="preserve">Talent Mapping Position [Performance vs Potential] </t>
  </si>
  <si>
    <t xml:space="preserve">Development Focus </t>
  </si>
  <si>
    <t xml:space="preserve">Development Action </t>
  </si>
  <si>
    <t xml:space="preserve">1. Underperforming Talent </t>
  </si>
  <si>
    <t>Underperforming Talent [L,L]</t>
  </si>
  <si>
    <t xml:space="preserve">re-assign or manage out of Alteryx </t>
  </si>
  <si>
    <t xml:space="preserve">Make A Plan -  Identify a plan to improve performance in partnership with HR </t>
  </si>
  <si>
    <t xml:space="preserve">2. Solid Talent </t>
  </si>
  <si>
    <t>Solid Talent [M,L]</t>
  </si>
  <si>
    <t xml:space="preserve">consider expanding current role, explore lateral/development opportunities </t>
  </si>
  <si>
    <t xml:space="preserve">Develop in Role - Identify developmental activities to continue to grow their skill and set them up for success for anticipated progression </t>
  </si>
  <si>
    <t xml:space="preserve">3. Expert Talent </t>
  </si>
  <si>
    <t>Expert Talent [H,L]</t>
  </si>
  <si>
    <t xml:space="preserve">leverage experience to mentor and growth others </t>
  </si>
  <si>
    <t xml:space="preserve">4. Inconsistent Talent </t>
  </si>
  <si>
    <t>Inconsistent Talent [L,M]</t>
  </si>
  <si>
    <t xml:space="preserve">re-establish performance expectations in current role, drive performance and re-evaluate in 6-12 months </t>
  </si>
  <si>
    <t>Evaluate Fit/Make A Plan - Identify a coaching plan to improve performance</t>
  </si>
  <si>
    <t xml:space="preserve">5. Core Talent </t>
  </si>
  <si>
    <t>Core Talent [M,M]</t>
  </si>
  <si>
    <t>identify performance barriers, explore potential to expand responsibilities in current role and discuss career aspirations (ideally for talent new in role)</t>
  </si>
  <si>
    <t>6.High Impact Talent</t>
  </si>
  <si>
    <t>High Impact Talent [H,M]</t>
  </si>
  <si>
    <t>expand responsibilities in current role, identify key experiences and increase executive exposure</t>
  </si>
  <si>
    <t xml:space="preserve">Differentially Invest - Ensure career discussions are happening regularly? Do they have an individual development plan? What opportunities exist to accelerate development and growth? Revist talent often to plan for next steps. </t>
  </si>
  <si>
    <t xml:space="preserve">7. Emerging Talent/ Off-Track </t>
  </si>
  <si>
    <t>Emerging Talent /Off-track [L,H]</t>
  </si>
  <si>
    <t>drive performance in current role and re-evaluate in 6-12 months</t>
  </si>
  <si>
    <t>Evaluate Fit - What is causing them to underperform? Are they in the right role? Do they need a mentor and/or additional guidance?</t>
  </si>
  <si>
    <t xml:space="preserve">8. Growth Talent </t>
  </si>
  <si>
    <t>Growth Talent [M,H]</t>
  </si>
  <si>
    <t xml:space="preserve">identify performance barriers, explore potential to expand responsibilities in current role </t>
  </si>
  <si>
    <t xml:space="preserve">9.Top Talent </t>
  </si>
  <si>
    <t>Top Talent [H,H]</t>
  </si>
  <si>
    <t xml:space="preserve">identify stretch experiences or temporary assignments, increase executive exposure </t>
  </si>
  <si>
    <t>Employee ID</t>
  </si>
  <si>
    <t>Worker</t>
  </si>
  <si>
    <t>Business Title</t>
  </si>
  <si>
    <t>Job Title</t>
  </si>
  <si>
    <t>Job Profile</t>
  </si>
  <si>
    <t>Job Level - Primary Position</t>
  </si>
  <si>
    <t>Hire Date</t>
  </si>
  <si>
    <t>Tenure Category (Months)</t>
  </si>
  <si>
    <t>Time in Job Profile</t>
  </si>
  <si>
    <t>2023 Completed Performance Rating</t>
  </si>
  <si>
    <t>2024 Completed Performance Rating</t>
  </si>
  <si>
    <t>Aug 2025 Talent Assessment Performance</t>
  </si>
  <si>
    <t>Aug 2025  Talent Assessment Potential</t>
  </si>
  <si>
    <t>Aug 2025 Talent Assessment 9-Box Label</t>
  </si>
  <si>
    <t xml:space="preserve">Notes </t>
  </si>
  <si>
    <t xml:space="preserve">Promotion (In-Line, </t>
  </si>
  <si>
    <t>Worker's Manager</t>
  </si>
  <si>
    <t>Management Chain - Level 04</t>
  </si>
  <si>
    <t>Management Chain - Level 05</t>
  </si>
  <si>
    <t>Management Chain - Level 06</t>
  </si>
  <si>
    <t>Carolyn Blanco Losada</t>
  </si>
  <si>
    <t>Manager, Product Delivery Program Management</t>
  </si>
  <si>
    <t>Mgr, Technical Program Management-USA</t>
  </si>
  <si>
    <t>MT2 - Manager</t>
  </si>
  <si>
    <t>3 - 5 Years</t>
  </si>
  <si>
    <t>2 year(s), 10 month(s), 3 day(s)</t>
  </si>
  <si>
    <t>Strong</t>
  </si>
  <si>
    <t>Low</t>
  </si>
  <si>
    <t>Medium</t>
  </si>
  <si>
    <t>August rating still holds with inconsistent talent. CBL has gaps in communication, storytelling and executive presence. Her new boss, Erin, is aware of these gaps and together, we're working on a coaching plan.</t>
  </si>
  <si>
    <t>No</t>
  </si>
  <si>
    <t>Erin Howard</t>
  </si>
  <si>
    <t>Elizabeth Benker</t>
  </si>
  <si>
    <t>Elizabeth Cardinal</t>
  </si>
  <si>
    <t>Team Lead, UI/UX Design-USA</t>
  </si>
  <si>
    <t>MT1 - Team Lead</t>
  </si>
  <si>
    <t>1 year(s), 1 month(s), 21 day(s)</t>
  </si>
  <si>
    <t>Elizabeth's performance and potential are improving as she expands her impact in an organization willing to invest in UI improvements. Her current scope and performance put her above a Team Lead role; am seeking promotion to Manager this cycle, along with role expansion.</t>
  </si>
  <si>
    <t>Yes</t>
  </si>
  <si>
    <t>Sr. Director, Customer Signals</t>
  </si>
  <si>
    <t>Sr. Dir, UI/UX Research-USA</t>
  </si>
  <si>
    <t>MT6 - Sr. Director</t>
  </si>
  <si>
    <t>0 - 3 Months</t>
  </si>
  <si>
    <t>0 year(s), 0 month(s), 9 day(s)</t>
  </si>
  <si>
    <t>Erin has been with the organization a short while and shows great potential. It's too early to assess her performance, however, so I will leave her at a 5 for now.</t>
  </si>
  <si>
    <t>Francois Planet</t>
  </si>
  <si>
    <t>Director, Product Management</t>
  </si>
  <si>
    <t>Dir, Product Management-CZE</t>
  </si>
  <si>
    <t>MT5 - Director</t>
  </si>
  <si>
    <t>0 year(s), 0 month(s), 16 day(s)</t>
  </si>
  <si>
    <t>Laura Williams Argilla</t>
  </si>
  <si>
    <t>Hitesh Bakutra</t>
  </si>
  <si>
    <t>Group Mgr, Product Management-IND</t>
  </si>
  <si>
    <t>MT4 - Group Manager</t>
  </si>
  <si>
    <t>0 year(s), 8 month(s), 18 day(s)</t>
  </si>
  <si>
    <t>Hitesh blossomed in the last several months under new leadership. He's been responsive, proactive, and focused on the three goals we set out for him. He's also proposing and pursuing significant new improvements  in the Telemetry space.</t>
  </si>
  <si>
    <t>Kate Butcher</t>
  </si>
  <si>
    <t>Dir, Product Management-USA</t>
  </si>
  <si>
    <t>1 year(s), 4 month(s), 12 day(s)</t>
  </si>
  <si>
    <t>High</t>
  </si>
  <si>
    <t>Chad Thompson</t>
  </si>
  <si>
    <t>Katie Fiscus</t>
  </si>
  <si>
    <t>Mgr, UI/UX Design-USA</t>
  </si>
  <si>
    <t>1 year(s), 8 month(s), 16 day(s)</t>
  </si>
  <si>
    <t>Solid</t>
  </si>
  <si>
    <t>Katie's shown improvement in performance with her more focused role in the new pillar system. She's effectively setting and communicating goals, actively managing performance, and eagerly embracing organizational changes.</t>
  </si>
  <si>
    <t>Lindsey Zibell</t>
  </si>
  <si>
    <t>Sr. Dir, Product Management-USA</t>
  </si>
  <si>
    <t>5 - 10 Years</t>
  </si>
  <si>
    <t>0 year(s), 8 month(s), 17 day(s)</t>
  </si>
  <si>
    <t>Leading</t>
  </si>
  <si>
    <t>Marcela Abrach</t>
  </si>
  <si>
    <t>Sr. Manager, Global Content</t>
  </si>
  <si>
    <t>Sr. Mgr, Technical Writing-USA</t>
  </si>
  <si>
    <t>MT3 - Sr. Manager</t>
  </si>
  <si>
    <t>3 year(s), 4 month(s), 18 day(s)</t>
  </si>
  <si>
    <t>Marcella has moved to a different role, effective in January. This move will be more suited to her strengths. I anticipate her Talent Indicator to improve as she settles into the new role.</t>
  </si>
  <si>
    <t>Nicole Johnson</t>
  </si>
  <si>
    <t>Dir, Product Management</t>
  </si>
  <si>
    <t>0 year(s), 2 month(s), 18 day(s)</t>
  </si>
  <si>
    <t>Olga Ziegelman</t>
  </si>
  <si>
    <t>Sr. Manager, UX Research</t>
  </si>
  <si>
    <t>Sr. Mgr, UI/UX Research-USA</t>
  </si>
  <si>
    <t>No change from last time. With Erin Howard now in place, Olga will have an opportunity to shift her team to be more part of the Customer Signals org remit, and will benefit from learning new methods and approaches.</t>
  </si>
  <si>
    <t>Pavla Miksova (On Leave)</t>
  </si>
  <si>
    <t>Mgr, UI/UX Design-CZE</t>
  </si>
  <si>
    <t>2 year(s), 8 month(s), 18 day(s)</t>
  </si>
  <si>
    <t>No change - has been on leave this entire year</t>
  </si>
  <si>
    <t>Rachel Howard</t>
  </si>
  <si>
    <t>Robert D'Arrigo</t>
  </si>
  <si>
    <t>Sr. Director, Product Management</t>
  </si>
  <si>
    <t>Sr. Dir, Product Management-AUS</t>
  </si>
  <si>
    <t>1 year(s), 8 month(s), 18 day(s)</t>
  </si>
  <si>
    <t>Tomáš Mitana</t>
  </si>
  <si>
    <t>Sr. Director, Product Management - Data &amp; Connectivity</t>
  </si>
  <si>
    <t>Sr. Dir, Product Management-CZE</t>
  </si>
  <si>
    <t>Will Hurley</t>
  </si>
  <si>
    <t>Sr. Mgr, UX/UI Design</t>
  </si>
  <si>
    <t>Sr. Mgr, UI/UX Design-AUS</t>
  </si>
  <si>
    <t>4 year(s), 1 month(s), 12 day(s)</t>
  </si>
  <si>
    <t>We've already discussed promoting Will to Director; strongly support this move.</t>
  </si>
  <si>
    <t>Yujia Zhao</t>
  </si>
  <si>
    <t>Mgr, UI/UX Design</t>
  </si>
  <si>
    <t>Seeing signs of stress as she assumes larger team and higher level of responsibility. Needs continued coaching on navigating political challenges.</t>
  </si>
  <si>
    <t>Patrik Volek</t>
  </si>
  <si>
    <t>Interim Manager UX/UI Design</t>
  </si>
  <si>
    <t>Advanced Professional, UI/UX Designer-CZE</t>
  </si>
  <si>
    <t>PT4 - Advanced Professional</t>
  </si>
  <si>
    <t>2 - 3 Years</t>
  </si>
  <si>
    <t>1 year(s), 2 month(s), 18 day(s)</t>
  </si>
  <si>
    <t>identify performance barriers, explore portential to expand responsibilties in current role and discuss career aspirations (ideally for talent new in role)</t>
  </si>
  <si>
    <t xml:space="preserve">Develop in Role - Identify developmental activities to continue to grow their skill and set them up for success for anticiapted progression </t>
  </si>
  <si>
    <t>First cycle as manager; strong early performance indicators. Needs coaching in proactively raising POV and navigating political challenges.</t>
  </si>
  <si>
    <t>(All)</t>
  </si>
  <si>
    <t xml:space="preserve">9- Box Calibration </t>
  </si>
  <si>
    <t>Count of Worker</t>
  </si>
  <si>
    <t>Percent</t>
  </si>
  <si>
    <t>Total</t>
  </si>
  <si>
    <t>Apurva Mathur</t>
  </si>
  <si>
    <t>ARPIT VERMA</t>
  </si>
  <si>
    <t>Artem Pakhomov (Артём Пахомов)</t>
  </si>
  <si>
    <t>Ashutosh Kumar</t>
  </si>
  <si>
    <t>Baneen Bryan</t>
  </si>
  <si>
    <t>Bob Fraser</t>
  </si>
  <si>
    <t>Grand Total</t>
  </si>
  <si>
    <t>David Domagalski</t>
  </si>
  <si>
    <t>Gabe Keaveney</t>
  </si>
  <si>
    <t>Gayatri Kakarlapudi</t>
  </si>
  <si>
    <t>Geoffrey Zath</t>
  </si>
  <si>
    <t>Gita Ligure</t>
  </si>
  <si>
    <t>Greg Filla (On Leave)</t>
  </si>
  <si>
    <t>HEMANTI PRADHAN</t>
  </si>
  <si>
    <t>Jarrod Thuener</t>
  </si>
  <si>
    <t>Jay Shipley</t>
  </si>
  <si>
    <t>Joanna Hoge</t>
  </si>
  <si>
    <t>Joe Repucci</t>
  </si>
  <si>
    <t>Kateřina Rutová</t>
  </si>
  <si>
    <t>Kira Droganova</t>
  </si>
  <si>
    <t>Kyle Hamm</t>
  </si>
  <si>
    <t>Kyle Waterworth (On Leave)</t>
  </si>
  <si>
    <t>Laine Caruzca</t>
  </si>
  <si>
    <t>Liana Ahn</t>
  </si>
  <si>
    <t>Lucy Durand</t>
  </si>
  <si>
    <t>Manisha Jaiswal</t>
  </si>
  <si>
    <t>Manvith U S</t>
  </si>
  <si>
    <t>Marcin Zegrodzki</t>
  </si>
  <si>
    <t>Marija Livrinski</t>
  </si>
  <si>
    <t>Meghan McCrory</t>
  </si>
  <si>
    <t>Michael Johnson</t>
  </si>
  <si>
    <t>Mike Akey</t>
  </si>
  <si>
    <t>Nataliia Bondarchuk</t>
  </si>
  <si>
    <t>Nate Vaziri</t>
  </si>
  <si>
    <t>Omkar Punuru</t>
  </si>
  <si>
    <t>Pranjal Uday</t>
  </si>
  <si>
    <t>Prashant Pathade</t>
  </si>
  <si>
    <t>Quan To</t>
  </si>
  <si>
    <t>Rahul Sharma</t>
  </si>
  <si>
    <t>Rasim Muftiev</t>
  </si>
  <si>
    <t>Rithi Son</t>
  </si>
  <si>
    <t>Rubaina Parveen</t>
  </si>
  <si>
    <t>Sergii Muravskyi (Сергей Муравский)</t>
  </si>
  <si>
    <t>Sheila Ober</t>
  </si>
  <si>
    <t>Siddharth Vijayvergiya</t>
  </si>
  <si>
    <t>Sourabh Rakhya</t>
  </si>
  <si>
    <t>TANISHA BISWAS</t>
  </si>
  <si>
    <t>Taylor Neal</t>
  </si>
  <si>
    <t>Ted Schuchardt</t>
  </si>
  <si>
    <t>Tereza Novotna</t>
  </si>
  <si>
    <t>Tomáš Beran</t>
  </si>
  <si>
    <t>Xenija Podjablonskaja (On Leave)</t>
  </si>
  <si>
    <t>Core Talent [M,M] Total</t>
  </si>
  <si>
    <t>Adriana Rybarova</t>
  </si>
  <si>
    <t>Ani Worlikar</t>
  </si>
  <si>
    <t>Elad Idan</t>
  </si>
  <si>
    <t>Expert Talent [H,L] Total</t>
  </si>
  <si>
    <t>Alexandra Zelinskaya</t>
  </si>
  <si>
    <t>Dhiraj Sahu</t>
  </si>
  <si>
    <t>Jinju Hopkins (On Leave)</t>
  </si>
  <si>
    <t>Peter Ott</t>
  </si>
  <si>
    <t>Raffaela Bethke</t>
  </si>
  <si>
    <t>Growth Talent [M,H] Total</t>
  </si>
  <si>
    <t>Agnimitra Pathak</t>
  </si>
  <si>
    <t>Aida Abbasi</t>
  </si>
  <si>
    <t>David Skala</t>
  </si>
  <si>
    <t>Emily Turner</t>
  </si>
  <si>
    <t>Ishita Gandhi</t>
  </si>
  <si>
    <t>JASON GAYLORD</t>
  </si>
  <si>
    <t>Pavel Pankov</t>
  </si>
  <si>
    <t>Rachel Zolotov</t>
  </si>
  <si>
    <t>Trevor Harris</t>
  </si>
  <si>
    <t>Ximena Arce</t>
  </si>
  <si>
    <t>High Impact Talent [H,M] Total</t>
  </si>
  <si>
    <t>Alicia Beam</t>
  </si>
  <si>
    <t>Andrew Lloyd</t>
  </si>
  <si>
    <t>Manoj Ramachandran</t>
  </si>
  <si>
    <t>Manuela Cardenas</t>
  </si>
  <si>
    <t>Megan Harron</t>
  </si>
  <si>
    <t>Nitin Grewal</t>
  </si>
  <si>
    <t>Sushanth Shajil</t>
  </si>
  <si>
    <t>Solid Talent [M,L] Total</t>
  </si>
  <si>
    <t>Adam Neylon</t>
  </si>
  <si>
    <t>Brad Shaw</t>
  </si>
  <si>
    <t>Bryan Chan</t>
  </si>
  <si>
    <t>Bryce Laird</t>
  </si>
  <si>
    <t>Chirag Dadheech</t>
  </si>
  <si>
    <t>David Cooperberg</t>
  </si>
  <si>
    <t>Emily Davis (On Leave)</t>
  </si>
  <si>
    <t>Harsh Jiladiya</t>
  </si>
  <si>
    <t>Iryna Onishchuk (Ірина Оніщук)</t>
  </si>
  <si>
    <t>Kit Lau</t>
  </si>
  <si>
    <t>Siddharth Shankar Prusty</t>
  </si>
  <si>
    <t>Stanislava Sirockova</t>
  </si>
  <si>
    <t>Top Talent [H,H] Total</t>
  </si>
  <si>
    <t>Becca Lemmons (On Leave)</t>
  </si>
  <si>
    <t>Charles Ash</t>
  </si>
  <si>
    <t>Underperforming Talent [L,L] Total</t>
  </si>
  <si>
    <t>(blank)</t>
  </si>
  <si>
    <t>(blank) Total</t>
  </si>
  <si>
    <t>AKASH S</t>
  </si>
  <si>
    <t>Jiří Peroutka</t>
  </si>
  <si>
    <t>Monique Barbour</t>
  </si>
  <si>
    <t>Tonya Smith</t>
  </si>
  <si>
    <t>Inconsistent Talent [L,M] Total</t>
  </si>
  <si>
    <t xml:space="preserve">Talent Mapping Position </t>
  </si>
  <si>
    <t>Emerging Talent/ Off-Track [L,H]</t>
  </si>
  <si>
    <t xml:space="preserve">identify performance barriers, explore portential to expand responsibilties in current role </t>
  </si>
  <si>
    <t xml:space="preserve">Differentially Invest - Ensure career discussions are happening regularly? Do they have an individual development plan? What opportunities exist to accelerate development and growth? Revisit talent often to plan for next steps.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</si>
</sst>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2"/>
      <color theme="1"/>
      <name val="Aptos Narrow"/>
      <family val="2"/>
      <scheme val="minor"/>
    </font>
    <font>
      <b/>
      <sz val="10"/>
      <color rgb="FF000000"/>
      <name val="Arial"/>
      <family val="2"/>
    </font>
    <font>
      <sz val="10"/>
      <color rgb="FF000000"/>
      <name val="Arial"/>
      <family val="2"/>
    </font>
    <font>
      <sz val="12"/>
      <color rgb="FF000000"/>
      <name val="Aptos Narrow"/>
      <family val="2"/>
      <scheme val="minor"/>
    </font>
    <font>
      <b/>
      <sz val="12"/>
      <color theme="1"/>
      <name val="Aptos Narrow"/>
      <family val="2"/>
      <scheme val="minor"/>
    </font>
    <font>
      <sz val="10"/>
      <color theme="1"/>
      <name val="Arial"/>
      <family val="2"/>
    </font>
    <font>
      <b/>
      <i/>
      <sz val="10"/>
      <color rgb="FF000000"/>
      <name val="Arial"/>
      <family val="2"/>
    </font>
    <font>
      <b/>
      <sz val="16"/>
      <color theme="1"/>
      <name val="Aptos Narrow"/>
      <scheme val="minor"/>
    </font>
    <font>
      <sz val="14"/>
      <color theme="1"/>
      <name val="Aptos Narrow"/>
      <family val="2"/>
      <scheme val="minor"/>
    </font>
    <font>
      <b/>
      <sz val="16"/>
      <color theme="1"/>
      <name val="Aptos Narrow (Body)"/>
    </font>
    <font>
      <sz val="16"/>
      <color theme="1"/>
      <name val="Aptos Narrow (Body)"/>
    </font>
    <font>
      <b/>
      <sz val="11"/>
      <color rgb="FF000000"/>
      <name val="Arial"/>
      <family val="2"/>
    </font>
    <font>
      <b/>
      <i/>
      <sz val="11"/>
      <color theme="1"/>
      <name val="Aptos Narrow"/>
      <family val="2"/>
      <scheme val="minor"/>
    </font>
    <font>
      <sz val="10"/>
      <color theme="1"/>
      <name val="Aptos Narrow"/>
      <family val="2"/>
      <scheme val="minor"/>
    </font>
    <font>
      <sz val="14"/>
      <color rgb="FF000000"/>
      <name val="Aptos Narrow"/>
      <scheme val="minor"/>
    </font>
    <font>
      <b/>
      <sz val="14"/>
      <color rgb="FF000000"/>
      <name val="Aptos Narrow"/>
      <scheme val="minor"/>
    </font>
    <font>
      <sz val="14"/>
      <color rgb="FF000000"/>
      <name val="Aptos Narrow"/>
      <family val="2"/>
      <scheme val="minor"/>
    </font>
    <font>
      <b/>
      <sz val="14"/>
      <color rgb="FF000000"/>
      <name val="Aptos Narrow"/>
      <family val="2"/>
      <scheme val="minor"/>
    </font>
    <font>
      <sz val="10"/>
      <color rgb="FF000000"/>
      <name val="Aptos Narrow"/>
      <family val="2"/>
      <scheme val="minor"/>
    </font>
  </fonts>
  <fills count="12">
    <fill>
      <patternFill patternType="none"/>
    </fill>
    <fill>
      <patternFill patternType="gray125"/>
    </fill>
    <fill>
      <patternFill patternType="solid">
        <fgColor rgb="FFFFC000"/>
        <bgColor indexed="64"/>
      </patternFill>
    </fill>
    <fill>
      <patternFill patternType="solid">
        <fgColor rgb="FFFF0000"/>
        <bgColor indexed="64"/>
      </patternFill>
    </fill>
    <fill>
      <patternFill patternType="solid">
        <fgColor rgb="FF00B0F0"/>
        <bgColor indexed="64"/>
      </patternFill>
    </fill>
    <fill>
      <patternFill patternType="solid">
        <fgColor rgb="FF00B050"/>
        <bgColor indexed="64"/>
      </patternFill>
    </fill>
    <fill>
      <patternFill patternType="solid">
        <fgColor theme="2"/>
        <bgColor indexed="64"/>
      </patternFill>
    </fill>
    <fill>
      <patternFill patternType="solid">
        <fgColor theme="3" tint="0.89999084444715716"/>
        <bgColor indexed="64"/>
      </patternFill>
    </fill>
    <fill>
      <patternFill patternType="solid">
        <fgColor theme="6" tint="0.79998168889431442"/>
        <bgColor indexed="64"/>
      </patternFill>
    </fill>
    <fill>
      <patternFill patternType="solid">
        <fgColor rgb="FFDAE9F8"/>
        <bgColor rgb="FF000000"/>
      </patternFill>
    </fill>
    <fill>
      <patternFill patternType="solid">
        <fgColor rgb="FFC1F0C8"/>
        <bgColor rgb="FF000000"/>
      </patternFill>
    </fill>
    <fill>
      <patternFill patternType="solid">
        <fgColor rgb="FF00B050"/>
        <bgColor rgb="FF215C98"/>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thin">
        <color theme="1"/>
      </top>
      <bottom/>
      <diagonal/>
    </border>
  </borders>
  <cellStyleXfs count="1">
    <xf numFmtId="0" fontId="0" fillId="0" borderId="0"/>
  </cellStyleXfs>
  <cellXfs count="50">
    <xf numFmtId="0" fontId="0" fillId="0" borderId="0" xfId="0"/>
    <xf numFmtId="0" fontId="1" fillId="0" borderId="0" xfId="0" applyFont="1" applyAlignment="1">
      <alignment horizontal="center" vertical="top" wrapText="1"/>
    </xf>
    <xf numFmtId="0" fontId="2" fillId="0" borderId="0" xfId="0" applyFont="1" applyAlignment="1">
      <alignment vertical="top" wrapText="1"/>
    </xf>
    <xf numFmtId="0" fontId="3" fillId="0" borderId="0" xfId="0" applyFont="1"/>
    <xf numFmtId="0" fontId="0" fillId="2" borderId="0" xfId="0" applyFill="1"/>
    <xf numFmtId="0" fontId="0" fillId="3" borderId="0" xfId="0" applyFill="1"/>
    <xf numFmtId="0" fontId="0" fillId="4" borderId="0" xfId="0" applyFill="1"/>
    <xf numFmtId="0" fontId="0" fillId="5" borderId="0" xfId="0" applyFill="1"/>
    <xf numFmtId="0" fontId="5" fillId="0" borderId="0" xfId="0" applyFont="1" applyAlignment="1">
      <alignment wrapText="1"/>
    </xf>
    <xf numFmtId="0" fontId="0" fillId="0" borderId="0" xfId="0" applyAlignment="1">
      <alignment vertical="top" wrapText="1"/>
    </xf>
    <xf numFmtId="0" fontId="4" fillId="0" borderId="0" xfId="0" applyFont="1"/>
    <xf numFmtId="0" fontId="6" fillId="6" borderId="0" xfId="0" applyFont="1" applyFill="1" applyAlignment="1">
      <alignment horizontal="center" vertical="top" wrapText="1"/>
    </xf>
    <xf numFmtId="0" fontId="7" fillId="0" borderId="0" xfId="0" applyFont="1" applyAlignment="1">
      <alignment vertical="top" wrapText="1"/>
    </xf>
    <xf numFmtId="0" fontId="8" fillId="0" borderId="0" xfId="0" applyFont="1" applyAlignment="1">
      <alignment vertical="top" wrapText="1"/>
    </xf>
    <xf numFmtId="0" fontId="11" fillId="0" borderId="1" xfId="0" applyFont="1" applyBorder="1" applyAlignment="1">
      <alignment horizontal="center" vertical="top" wrapText="1"/>
    </xf>
    <xf numFmtId="0" fontId="0" fillId="0" borderId="1" xfId="0" applyBorder="1" applyAlignment="1">
      <alignment vertical="top" wrapText="1"/>
    </xf>
    <xf numFmtId="0" fontId="0" fillId="2" borderId="1" xfId="0" applyFill="1" applyBorder="1" applyAlignment="1">
      <alignment vertical="top" wrapText="1"/>
    </xf>
    <xf numFmtId="0" fontId="3" fillId="0" borderId="1" xfId="0" applyFont="1" applyBorder="1" applyAlignment="1">
      <alignment vertical="top" wrapText="1"/>
    </xf>
    <xf numFmtId="0" fontId="0" fillId="3" borderId="1" xfId="0" applyFill="1" applyBorder="1" applyAlignment="1">
      <alignment vertical="top" wrapText="1"/>
    </xf>
    <xf numFmtId="0" fontId="0" fillId="4" borderId="1" xfId="0" applyFill="1" applyBorder="1" applyAlignment="1">
      <alignment vertical="top" wrapText="1"/>
    </xf>
    <xf numFmtId="0" fontId="0" fillId="5" borderId="1" xfId="0" applyFill="1" applyBorder="1" applyAlignment="1">
      <alignment vertical="top" wrapText="1"/>
    </xf>
    <xf numFmtId="0" fontId="3" fillId="4" borderId="1" xfId="0" applyFont="1" applyFill="1" applyBorder="1" applyAlignment="1">
      <alignment vertical="top" wrapText="1"/>
    </xf>
    <xf numFmtId="0" fontId="2" fillId="0" borderId="0" xfId="0" applyFont="1" applyAlignment="1">
      <alignment horizontal="center" vertical="top" wrapText="1"/>
    </xf>
    <xf numFmtId="14" fontId="2" fillId="0" borderId="0" xfId="0" applyNumberFormat="1" applyFont="1" applyAlignment="1">
      <alignment horizontal="center" vertical="top"/>
    </xf>
    <xf numFmtId="0" fontId="12" fillId="7" borderId="2" xfId="0" applyFont="1" applyFill="1" applyBorder="1" applyAlignment="1">
      <alignment vertical="top" wrapText="1"/>
    </xf>
    <xf numFmtId="0" fontId="12" fillId="7" borderId="2" xfId="0" applyFont="1" applyFill="1" applyBorder="1" applyAlignment="1">
      <alignment horizontal="left" vertical="top" wrapText="1"/>
    </xf>
    <xf numFmtId="0" fontId="0" fillId="0" borderId="0" xfId="0" pivotButton="1"/>
    <xf numFmtId="0" fontId="0" fillId="0" borderId="0" xfId="0" applyAlignment="1">
      <alignment horizontal="left"/>
    </xf>
    <xf numFmtId="0" fontId="2" fillId="0" borderId="0" xfId="0" quotePrefix="1" applyFont="1" applyAlignment="1">
      <alignment horizontal="center" vertical="top" wrapText="1"/>
    </xf>
    <xf numFmtId="0" fontId="13" fillId="0" borderId="0" xfId="0" applyFont="1" applyAlignment="1">
      <alignment horizontal="center" vertical="top"/>
    </xf>
    <xf numFmtId="0" fontId="13" fillId="0" borderId="0" xfId="0" applyFont="1" applyAlignment="1">
      <alignment horizontal="center" vertical="top" wrapText="1"/>
    </xf>
    <xf numFmtId="14" fontId="13" fillId="0" borderId="0" xfId="0" applyNumberFormat="1" applyFont="1" applyAlignment="1">
      <alignment horizontal="center" vertical="top" wrapText="1"/>
    </xf>
    <xf numFmtId="0" fontId="6" fillId="8" borderId="0" xfId="0" applyFont="1" applyFill="1" applyAlignment="1">
      <alignment horizontal="center" vertical="top" wrapText="1"/>
    </xf>
    <xf numFmtId="0" fontId="2" fillId="8" borderId="0" xfId="0" applyFont="1" applyFill="1" applyAlignment="1">
      <alignment vertical="top" wrapText="1"/>
    </xf>
    <xf numFmtId="0" fontId="14" fillId="9" borderId="0" xfId="0" applyFont="1" applyFill="1" applyAlignment="1">
      <alignment vertical="top"/>
    </xf>
    <xf numFmtId="0" fontId="16" fillId="9" borderId="0" xfId="0" applyFont="1" applyFill="1" applyAlignment="1">
      <alignment vertical="top" wrapText="1"/>
    </xf>
    <xf numFmtId="0" fontId="16" fillId="9" borderId="0" xfId="0" applyFont="1" applyFill="1" applyAlignment="1">
      <alignment vertical="top"/>
    </xf>
    <xf numFmtId="0" fontId="18" fillId="0" borderId="0" xfId="0" applyFont="1" applyAlignment="1">
      <alignment horizontal="center" vertical="top"/>
    </xf>
    <xf numFmtId="0" fontId="18" fillId="0" borderId="0" xfId="0" applyFont="1" applyAlignment="1">
      <alignment horizontal="center" vertical="top" wrapText="1"/>
    </xf>
    <xf numFmtId="14" fontId="18" fillId="0" borderId="0" xfId="0" applyNumberFormat="1" applyFont="1" applyAlignment="1">
      <alignment horizontal="center" vertical="top" wrapText="1"/>
    </xf>
    <xf numFmtId="0" fontId="2" fillId="11" borderId="0" xfId="0" applyFont="1" applyFill="1" applyAlignment="1">
      <alignment horizontal="center" vertical="top" wrapText="1"/>
    </xf>
    <xf numFmtId="0" fontId="2" fillId="8" borderId="0" xfId="0" applyFont="1" applyFill="1" applyAlignment="1">
      <alignment horizontal="left" vertical="top" wrapText="1"/>
    </xf>
    <xf numFmtId="0" fontId="0" fillId="0" borderId="0" xfId="0" applyAlignment="1">
      <alignment horizontal="left" vertical="top"/>
    </xf>
    <xf numFmtId="0" fontId="6" fillId="8" borderId="0" xfId="0" applyFont="1" applyFill="1" applyAlignment="1">
      <alignment horizontal="left" vertical="top"/>
    </xf>
    <xf numFmtId="0" fontId="2" fillId="8" borderId="0" xfId="0" applyFont="1" applyFill="1" applyAlignment="1">
      <alignment horizontal="left" vertical="top"/>
    </xf>
    <xf numFmtId="0" fontId="2" fillId="10" borderId="0" xfId="0" applyFont="1" applyFill="1" applyAlignment="1">
      <alignment horizontal="left" vertical="top"/>
    </xf>
    <xf numFmtId="0" fontId="13" fillId="8" borderId="0" xfId="0" applyFont="1" applyFill="1" applyAlignment="1">
      <alignment horizontal="left" vertical="top" wrapText="1"/>
    </xf>
    <xf numFmtId="0" fontId="18" fillId="10" borderId="0" xfId="0" applyFont="1" applyFill="1" applyAlignment="1">
      <alignment horizontal="left" vertical="top" wrapText="1"/>
    </xf>
    <xf numFmtId="10" fontId="0" fillId="0" borderId="0" xfId="0" applyNumberFormat="1"/>
    <xf numFmtId="0" fontId="1" fillId="0" borderId="0" xfId="0" applyFont="1" applyAlignment="1">
      <alignment vertical="top" wrapText="1"/>
    </xf>
  </cellXfs>
  <cellStyles count="1">
    <cellStyle name="Normal" xfId="0" builtinId="0"/>
  </cellStyles>
  <dxfs count="25">
    <dxf>
      <fill>
        <patternFill>
          <fgColor theme="3" tint="0.24994659260841701"/>
          <bgColor rgb="FF00B0F0"/>
        </patternFill>
      </fill>
    </dxf>
    <dxf>
      <fill>
        <patternFill>
          <bgColor rgb="FFFFC000"/>
        </patternFill>
      </fill>
    </dxf>
    <dxf>
      <fill>
        <patternFill>
          <bgColor rgb="FFFF0000"/>
        </patternFill>
      </fill>
    </dxf>
    <dxf>
      <fill>
        <patternFill>
          <fgColor theme="3" tint="0.24994659260841701"/>
          <bgColor rgb="FF00B050"/>
        </patternFill>
      </fill>
    </dxf>
    <dxf>
      <fill>
        <patternFill>
          <fgColor theme="3" tint="0.24994659260841701"/>
          <bgColor rgb="FF00B0F0"/>
        </patternFill>
      </fill>
    </dxf>
    <dxf>
      <fill>
        <patternFill>
          <bgColor rgb="FFFFC000"/>
        </patternFill>
      </fill>
    </dxf>
    <dxf>
      <fill>
        <patternFill>
          <bgColor rgb="FFFF0000"/>
        </patternFill>
      </fill>
    </dxf>
    <dxf>
      <fill>
        <patternFill>
          <fgColor theme="3" tint="0.24994659260841701"/>
          <bgColor rgb="FF00B050"/>
        </patternFill>
      </fill>
    </dxf>
    <dxf>
      <fill>
        <patternFill>
          <bgColor rgb="FFFFC000"/>
        </patternFill>
      </fill>
    </dxf>
    <dxf>
      <fill>
        <patternFill>
          <fgColor theme="3" tint="0.24994659260841701"/>
          <bgColor rgb="FF00B0F0"/>
        </patternFill>
      </fill>
    </dxf>
    <dxf>
      <fill>
        <patternFill>
          <bgColor rgb="FFFFC000"/>
        </patternFill>
      </fill>
    </dxf>
    <dxf>
      <fill>
        <patternFill>
          <bgColor rgb="FFFF0000"/>
        </patternFill>
      </fill>
    </dxf>
    <dxf>
      <fill>
        <patternFill>
          <fgColor theme="3" tint="0.24994659260841701"/>
          <bgColor rgb="FF00B050"/>
        </patternFill>
      </fill>
    </dxf>
    <dxf>
      <fill>
        <patternFill>
          <bgColor rgb="FFFFC000"/>
        </patternFill>
      </fill>
    </dxf>
    <dxf>
      <font>
        <color rgb="FF9C0006"/>
      </font>
      <fill>
        <patternFill>
          <bgColor rgb="FFFFC7CE"/>
        </patternFill>
      </fill>
    </dxf>
    <dxf>
      <fill>
        <patternFill>
          <fgColor theme="3" tint="0.24994659260841701"/>
          <bgColor rgb="FF00B0F0"/>
        </patternFill>
      </fill>
    </dxf>
    <dxf>
      <fill>
        <patternFill>
          <bgColor rgb="FFFFC000"/>
        </patternFill>
      </fill>
    </dxf>
    <dxf>
      <fill>
        <patternFill>
          <bgColor rgb="FFFF0000"/>
        </patternFill>
      </fill>
    </dxf>
    <dxf>
      <fill>
        <patternFill>
          <fgColor theme="3" tint="0.24994659260841701"/>
          <bgColor rgb="FF00B050"/>
        </patternFill>
      </fill>
    </dxf>
    <dxf>
      <fill>
        <patternFill>
          <bgColor rgb="FFFFC000"/>
        </patternFill>
      </fill>
    </dxf>
    <dxf>
      <fill>
        <patternFill>
          <bgColor rgb="FFFFC000"/>
        </patternFill>
      </fill>
    </dxf>
    <dxf>
      <fill>
        <patternFill>
          <fgColor theme="3" tint="0.24994659260841701"/>
          <bgColor rgb="FF00B0F0"/>
        </patternFill>
      </fill>
    </dxf>
    <dxf>
      <fill>
        <patternFill>
          <bgColor rgb="FFFFC000"/>
        </patternFill>
      </fill>
    </dxf>
    <dxf>
      <fill>
        <patternFill>
          <bgColor rgb="FFFF0000"/>
        </patternFill>
      </fill>
    </dxf>
    <dxf>
      <fill>
        <patternFill>
          <fgColor theme="3" tint="0.24994659260841701"/>
          <bgColor rgb="FF00B050"/>
        </patternFill>
      </fill>
    </dxf>
  </dxfs>
  <tableStyles count="0" defaultTableStyle="TableStyleMedium2" defaultPivotStyle="PivotStyleLight16"/>
  <colors>
    <mruColors>
      <color rgb="FFE75E19"/>
      <color rgb="FFE9491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685800</xdr:colOff>
      <xdr:row>4</xdr:row>
      <xdr:rowOff>114300</xdr:rowOff>
    </xdr:from>
    <xdr:to>
      <xdr:col>14</xdr:col>
      <xdr:colOff>466725</xdr:colOff>
      <xdr:row>14</xdr:row>
      <xdr:rowOff>304800</xdr:rowOff>
    </xdr:to>
    <xdr:pic>
      <xdr:nvPicPr>
        <xdr:cNvPr id="3" name="Picture 2">
          <a:extLst>
            <a:ext uri="{FF2B5EF4-FFF2-40B4-BE49-F238E27FC236}">
              <a16:creationId xmlns:a16="http://schemas.microsoft.com/office/drawing/2014/main" id="{F40FD320-F66F-5B21-04B6-A10422847117}"/>
            </a:ext>
            <a:ext uri="{147F2762-F138-4A5C-976F-8EAC2B608ADB}">
              <a16:predDERef xmlns:a16="http://schemas.microsoft.com/office/drawing/2014/main" pred="{65B950D7-4EE9-2F71-CCA7-3CABC200DB01}"/>
            </a:ext>
          </a:extLst>
        </xdr:cNvPr>
        <xdr:cNvPicPr>
          <a:picLocks noChangeAspect="1"/>
        </xdr:cNvPicPr>
      </xdr:nvPicPr>
      <xdr:blipFill rotWithShape="1">
        <a:blip xmlns:r="http://schemas.openxmlformats.org/officeDocument/2006/relationships" r:embed="rId1"/>
        <a:srcRect l="1144" b="2368"/>
        <a:stretch>
          <a:fillRect/>
        </a:stretch>
      </xdr:blipFill>
      <xdr:spPr>
        <a:xfrm>
          <a:off x="10315575" y="1114425"/>
          <a:ext cx="8067675" cy="3886200"/>
        </a:xfrm>
        <a:prstGeom prst="rect">
          <a:avLst/>
        </a:prstGeom>
      </xdr:spPr>
    </xdr:pic>
    <xdr:clientData/>
  </xdr:twoCellAnchor>
  <xdr:twoCellAnchor editAs="oneCell">
    <xdr:from>
      <xdr:col>4</xdr:col>
      <xdr:colOff>762000</xdr:colOff>
      <xdr:row>14</xdr:row>
      <xdr:rowOff>657225</xdr:rowOff>
    </xdr:from>
    <xdr:to>
      <xdr:col>15</xdr:col>
      <xdr:colOff>206375</xdr:colOff>
      <xdr:row>19</xdr:row>
      <xdr:rowOff>701675</xdr:rowOff>
    </xdr:to>
    <xdr:pic>
      <xdr:nvPicPr>
        <xdr:cNvPr id="11" name="Picture 1">
          <a:extLst>
            <a:ext uri="{FF2B5EF4-FFF2-40B4-BE49-F238E27FC236}">
              <a16:creationId xmlns:a16="http://schemas.microsoft.com/office/drawing/2014/main" id="{FC42329F-75BF-49BB-8DDF-9E817903F87D}"/>
            </a:ext>
            <a:ext uri="{147F2762-F138-4A5C-976F-8EAC2B608ADB}">
              <a16:predDERef xmlns:a16="http://schemas.microsoft.com/office/drawing/2014/main" pred="{F40FD320-F66F-5B21-04B6-A10422847117}"/>
            </a:ext>
          </a:extLst>
        </xdr:cNvPr>
        <xdr:cNvPicPr>
          <a:picLocks noChangeAspect="1"/>
        </xdr:cNvPicPr>
      </xdr:nvPicPr>
      <xdr:blipFill>
        <a:blip xmlns:r="http://schemas.openxmlformats.org/officeDocument/2006/relationships" r:embed="rId2"/>
        <a:stretch>
          <a:fillRect/>
        </a:stretch>
      </xdr:blipFill>
      <xdr:spPr>
        <a:xfrm>
          <a:off x="10391775" y="4933950"/>
          <a:ext cx="8524875" cy="436245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enee Price" refreshedDate="45982.770721990739" createdVersion="8" refreshedVersion="8" minRefreshableVersion="3" recordCount="118" xr:uid="{0F677D85-AC8E-4111-B6AE-9636396B0747}">
  <cacheSource type="worksheet">
    <worksheetSource ref="A1:X1048576" sheet="PUX Mgrs "/>
  </cacheSource>
  <cacheFields count="24">
    <cacheField name="Employee ID" numFmtId="0">
      <sharedItems containsString="0" containsBlank="1" containsNumber="1" containsInteger="1" minValue="1280" maxValue="106415"/>
    </cacheField>
    <cacheField name="Worker" numFmtId="0">
      <sharedItems containsBlank="1" count="116">
        <s v="Adam Neylon"/>
        <s v="Adriana Rybarova"/>
        <s v="Agnimitra Pathak"/>
        <s v="Aida Abbasi"/>
        <s v="AKASH S"/>
        <s v="Alexandra Zelinskaya"/>
        <s v="Alicia Beam"/>
        <s v="Andrew Lloyd"/>
        <s v="Ani Worlikar"/>
        <s v="Apurva Mathur"/>
        <s v="ARPIT VERMA"/>
        <s v="Artem Pakhomov (Артём Пахомов)"/>
        <s v="Ashutosh Kumar"/>
        <s v="Baneen Bryan"/>
        <s v="Becca Lemmons (On Leave)"/>
        <s v="Bob Fraser"/>
        <s v="Brad Shaw"/>
        <s v="Bryan Chan"/>
        <s v="Bryce Laird"/>
        <s v="Carolyn Blanco Losada"/>
        <s v="Chad Thompson"/>
        <s v="Charles Ash"/>
        <s v="Chirag Dadheech"/>
        <s v="David Cooperberg"/>
        <s v="David Domagalski"/>
        <s v="David Skala"/>
        <s v="Dhiraj Sahu"/>
        <s v="Elad Idan"/>
        <s v="Elizabeth Benker"/>
        <s v="Elizabeth Cardinal"/>
        <s v="Emily Davis (On Leave)"/>
        <s v="Emily Turner"/>
        <s v="Erin Howard"/>
        <s v="Francois Planet"/>
        <s v="Gabe Keaveney"/>
        <s v="Gayatri Kakarlapudi"/>
        <s v="Geoffrey Zath"/>
        <s v="Gita Ligure"/>
        <s v="Greg Filla (On Leave)"/>
        <s v="Harsh Jiladiya"/>
        <s v="HEMANTI PRADHAN"/>
        <s v="Hitesh Bakutra"/>
        <s v="Iryna Onishchuk (Ірина Оніщук)"/>
        <s v="Ishita Gandhi"/>
        <s v="Jarrod Thuener"/>
        <s v="JASON GAYLORD"/>
        <s v="Jay Shipley"/>
        <s v="Jinju Hopkins (On Leave)"/>
        <s v="Jiří Peroutka"/>
        <s v="Joanna Hoge"/>
        <s v="Joe Repucci"/>
        <s v="Kate Butcher"/>
        <s v="Kateřina Rutová"/>
        <s v="Katie Fiscus"/>
        <s v="Kira Droganova"/>
        <s v="Kit Lau"/>
        <s v="Kyle Hamm"/>
        <s v="Kyle Waterworth (On Leave)"/>
        <s v="Laine Caruzca"/>
        <s v="Laura Williams Argilla"/>
        <s v="Liana Ahn"/>
        <s v="Lindsey Zibell"/>
        <s v="Lucy Durand"/>
        <s v="Manisha Jaiswal"/>
        <s v="Manoj Ramachandran"/>
        <s v="Manuela Cardenas"/>
        <s v="Manvith U S"/>
        <s v="Marcela Abrach"/>
        <s v="Marcin Zegrodzki"/>
        <s v="Marija Livrinski"/>
        <s v="Megan Harron"/>
        <s v="Meghan McCrory"/>
        <s v="Michael Johnson"/>
        <s v="Mike Akey"/>
        <s v="Monique Barbour"/>
        <s v="Nataliia Bondarchuk"/>
        <s v="Nate Vaziri"/>
        <s v="Nicole Johnson"/>
        <s v="Nitin Grewal"/>
        <s v="Olga Ziegelman"/>
        <s v="Omkar Punuru"/>
        <s v="Patrik Volek"/>
        <s v="Pavel Pankov"/>
        <s v="Pavla Miksova (On Leave)"/>
        <s v="Peter Ott"/>
        <s v="Pranjal Uday"/>
        <s v="Prashant Pathade"/>
        <s v="Quan To"/>
        <s v="Rachel Howard"/>
        <s v="Rachel Zolotov"/>
        <s v="Raffaela Bethke"/>
        <s v="Rahul Sharma"/>
        <s v="Rasim Muftiev"/>
        <s v="Rithi Son"/>
        <s v="Robert D'Arrigo"/>
        <s v="Rubaina Parveen"/>
        <s v="Sergii Muravskyi (Сергей Муравский)"/>
        <s v="Sheila Ober"/>
        <s v="Siddharth Shankar Prusty"/>
        <s v="Siddharth Vijayvergiya"/>
        <s v="Sourabh Rakhya"/>
        <s v="Stanislava Sirockova"/>
        <s v="Sushanth Shajil"/>
        <s v="TANISHA BISWAS"/>
        <s v="Taylor Neal"/>
        <s v="Ted Schuchardt"/>
        <s v="Tereza Novotna"/>
        <s v="Tomáš Beran"/>
        <s v="Tomáš Mitana"/>
        <s v="Tonya Smith"/>
        <s v="Trevor Harris"/>
        <s v="Will Hurley"/>
        <s v="Xenija Podjablonskaja (On Leave)"/>
        <s v="Ximena Arce"/>
        <s v="Yujia Zhao"/>
        <m/>
      </sharedItems>
    </cacheField>
    <cacheField name="Business Title" numFmtId="0">
      <sharedItems containsBlank="1"/>
    </cacheField>
    <cacheField name="Job Title" numFmtId="0">
      <sharedItems containsBlank="1"/>
    </cacheField>
    <cacheField name="Job Profile" numFmtId="0">
      <sharedItems containsBlank="1"/>
    </cacheField>
    <cacheField name="Job Level - Primary Position" numFmtId="0">
      <sharedItems containsBlank="1"/>
    </cacheField>
    <cacheField name="Hire Date" numFmtId="0">
      <sharedItems containsNonDate="0" containsDate="1" containsString="0" containsBlank="1" minDate="2014-03-17T00:00:00" maxDate="2025-11-11T00:00:00"/>
    </cacheField>
    <cacheField name="Tenure Category (Months)" numFmtId="0">
      <sharedItems containsBlank="1"/>
    </cacheField>
    <cacheField name="Time in Job Profile" numFmtId="0">
      <sharedItems containsBlank="1"/>
    </cacheField>
    <cacheField name="2023 Completed Performance Rating" numFmtId="0">
      <sharedItems containsBlank="1"/>
    </cacheField>
    <cacheField name="2024 Completed Performance Rating" numFmtId="0">
      <sharedItems containsBlank="1"/>
    </cacheField>
    <cacheField name="Aug 2025 Talent Assessment Performance" numFmtId="0">
      <sharedItems containsBlank="1"/>
    </cacheField>
    <cacheField name="Aug 2025  Talent Assessment Potential" numFmtId="0">
      <sharedItems containsBlank="1"/>
    </cacheField>
    <cacheField name="Aug 2025 Talent Assessment 9-Box Label" numFmtId="0">
      <sharedItems containsBlank="1" containsMixedTypes="1" containsNumber="1" containsInteger="1" minValue="1" maxValue="9"/>
    </cacheField>
    <cacheField name="FY25 Rating " numFmtId="0">
      <sharedItems containsBlank="1" count="17">
        <s v="9.Top Talent "/>
        <s v="3. Expert Talent "/>
        <s v="6.High Impact Talent"/>
        <s v="4. Inconsistent Talent "/>
        <s v="8. Growth Talent "/>
        <s v="2. Solid Talent "/>
        <s v="5. Core Talent "/>
        <s v="1. Underperforming Talent "/>
        <m/>
        <s v="Strong/Leading (Top)" u="1"/>
        <s v="Solid/Strong " u="1"/>
        <s v="Strong/Leading (High Impact)" u="1"/>
        <s v="Needing Focus/Not Meeting Expectations" u="1"/>
        <s v="Strong/Leading (Growth)" u="1"/>
        <s v="Solid" u="1"/>
        <s v="Strong " u="1"/>
        <s v="Not Meeting Expectations " u="1"/>
      </sharedItems>
    </cacheField>
    <cacheField name="Talent Mapping Position [Performance vs Potential] " numFmtId="0">
      <sharedItems containsBlank="1" count="10">
        <s v="Top Talent [H,H]"/>
        <s v="Expert Talent [H,L]"/>
        <s v="High Impact Talent [H,M]"/>
        <s v="Inconsistent Talent [L,M]"/>
        <s v="Growth Talent [M,H]"/>
        <s v="Solid Talent [M,L]"/>
        <s v="Core Talent [M,M]"/>
        <s v="Underperforming Talent [L,L]"/>
        <m/>
        <s v="Inconsistent Talent [L,H]" u="1"/>
      </sharedItems>
    </cacheField>
    <cacheField name="Development Focus " numFmtId="0">
      <sharedItems containsBlank="1"/>
    </cacheField>
    <cacheField name="Development Action " numFmtId="0">
      <sharedItems containsBlank="1"/>
    </cacheField>
    <cacheField name="Notes " numFmtId="0">
      <sharedItems containsNonDate="0" containsString="0" containsBlank="1"/>
    </cacheField>
    <cacheField name="Promotion (In-Line, " numFmtId="0">
      <sharedItems containsNonDate="0" containsString="0" containsBlank="1"/>
    </cacheField>
    <cacheField name="Worker's Manager" numFmtId="0">
      <sharedItems containsBlank="1"/>
    </cacheField>
    <cacheField name="Management Chain - Level 04" numFmtId="0">
      <sharedItems containsBlank="1"/>
    </cacheField>
    <cacheField name="Management Chain - Level 05" numFmtId="0">
      <sharedItems containsBlank="1"/>
    </cacheField>
    <cacheField name="Management Chain - Level 06"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8">
  <r>
    <n v="103175"/>
    <x v="0"/>
    <s v="Principal Product Manager"/>
    <s v="Principal Product Manager"/>
    <s v="Principal, Product Management-USA"/>
    <s v="PT5 - Principal"/>
    <d v="2022-03-14T00:00:00"/>
    <s v="3 - 5 Years"/>
    <s v="0 year(s), 5 month(s), 11 day(s)"/>
    <s v="Leading"/>
    <s v="Leading"/>
    <s v="High"/>
    <s v="High"/>
    <n v="9"/>
    <x v="0"/>
    <x v="0"/>
    <s v="identify stretch experiences or temporary assignments, increase executive exposure "/>
    <s v="Differentially Invest - Ensure career discussions are happening regualrly? Do they have an individual depevopment plan? What opportunities exsist to accelerate development and growth? Revist talent often to plan for next steps. "/>
    <m/>
    <m/>
    <s v="Lindsey Zibell"/>
    <s v="Laura Williams Argilla"/>
    <s v="Lindsey Zibell"/>
    <m/>
  </r>
  <r>
    <n v="106384"/>
    <x v="1"/>
    <s v="Lead Product Designer"/>
    <s v="Advanced Professional, UI/UX Designer-CZE"/>
    <s v="Advanced Professional, UI/UX Designer-CZE"/>
    <s v="PT4 - Advanced Professional"/>
    <d v="2025-11-05T00:00:00"/>
    <s v="0 - 3 Months"/>
    <s v="0 year(s), 0 month(s), 14 day(s)"/>
    <m/>
    <m/>
    <m/>
    <m/>
    <m/>
    <x v="1"/>
    <x v="1"/>
    <s v="leverage experience to mentor and growth others "/>
    <s v="Develop in Role - Identify developmental activities to continue to grow their skill and set them up for success for anticiapted progression "/>
    <m/>
    <m/>
    <s v="Patrik Volek"/>
    <s v="Elizabeth Benker"/>
    <s v="Patrik Volek"/>
    <m/>
  </r>
  <r>
    <n v="103290"/>
    <x v="2"/>
    <s v="Sr. UX Designer"/>
    <s v="Sr. Professional, UI/UX Designer-IND"/>
    <s v="Sr. Professional, UI/UX Designer-IND"/>
    <s v="PT3 - Sr. Professional"/>
    <d v="2022-02-07T00:00:00"/>
    <s v="3 - 5 Years"/>
    <s v="3 year(s), 9 month(s), 12 day(s)"/>
    <s v="Solid"/>
    <s v="Strong"/>
    <s v="High"/>
    <s v="Medium"/>
    <n v="6"/>
    <x v="2"/>
    <x v="2"/>
    <s v="expand responsibilities in current role, identify key experiences and increase executive exposure"/>
    <s v="Differentially Invest - Ensure career discussions are happening regualrly? Do they have an individual depevopment plan? What opportunities exsist to accelerate development and growth? Revist talent often to plan for next steps. "/>
    <m/>
    <m/>
    <s v="Patrik Volek"/>
    <s v="Elizabeth Benker"/>
    <s v="Patrik Volek"/>
    <m/>
  </r>
  <r>
    <n v="104817"/>
    <x v="3"/>
    <s v="Senior Product Designer"/>
    <s v="Sr. Professional, UI/UX Designer-AUS"/>
    <s v="Sr. Professional, UI/UX Designer-AUS"/>
    <s v="PT3 - Sr. Professional"/>
    <d v="2023-01-16T00:00:00"/>
    <s v="2 - 3 Years"/>
    <s v="2 year(s), 10 month(s), 3 day(s)"/>
    <s v="Solid"/>
    <s v="Strong"/>
    <s v="High"/>
    <s v="Medium"/>
    <n v="6"/>
    <x v="2"/>
    <x v="2"/>
    <s v="expand responsibilities in current role, identify key experiences and increase executive exposure"/>
    <s v="Differentially Invest - Ensure career discussions are happening regualrly? Do they have an individual depevopment plan? What opportunities exsist to accelerate development and growth? Revist talent often to plan for next steps. "/>
    <m/>
    <m/>
    <s v="Will Hurley"/>
    <s v="Elizabeth Benker"/>
    <s v="Will Hurley"/>
    <m/>
  </r>
  <r>
    <n v="105857"/>
    <x v="4"/>
    <s v="Advanced Professional, UI/UX Designer-IND"/>
    <s v="Advanced Professional, UI/UX Designer-IND"/>
    <s v="Advanced Professional, UI/UX Designer-IND"/>
    <s v="PT4 - Advanced Professional"/>
    <d v="2024-12-30T00:00:00"/>
    <s v="10 - 12 Months"/>
    <s v="0 year(s), 3 month(s), 25 day(s)"/>
    <m/>
    <m/>
    <s v="Low"/>
    <s v="Medium"/>
    <n v="4"/>
    <x v="3"/>
    <x v="3"/>
    <s v="re-establish performance expectations in current role, drive performance and re-evaluate in 6-12 months "/>
    <s v="Evaluate Fit/Make A Plan - Identify a coaching plan to improve performance"/>
    <m/>
    <m/>
    <s v="Will Hurley"/>
    <s v="Elizabeth Benker"/>
    <s v="Will Hurley"/>
    <m/>
  </r>
  <r>
    <n v="103874"/>
    <x v="5"/>
    <s v="Lead UX Researcher"/>
    <s v="Advanced Professional, UI/UX Researcher-USA"/>
    <s v="Advanced Professional, UI/UX Researcher-USA"/>
    <s v="PT4 - Advanced Professional"/>
    <d v="2022-05-23T00:00:00"/>
    <s v="3 - 5 Years"/>
    <s v="1 year(s), 1 month(s), 21 day(s)"/>
    <s v="Strong"/>
    <s v="Solid"/>
    <s v="Medium"/>
    <s v="High"/>
    <n v="8"/>
    <x v="4"/>
    <x v="4"/>
    <s v="identify performance barriers, explore portential to expand responsibilties in current role "/>
    <s v="Differentially Invest - Ensure career discussions are happening regualrly? Do they have an individual depevopment plan? What opportunities exsist to accelerate development and growth? Revist talent often to plan for next steps. "/>
    <m/>
    <m/>
    <s v="Olga Ziegelman"/>
    <s v="Elizabeth Benker"/>
    <s v="Erin Howard"/>
    <s v="Olga Ziegelman"/>
  </r>
  <r>
    <n v="106302"/>
    <x v="6"/>
    <s v="Lead Research Operations Specialist"/>
    <s v="Advanced Professional, UI/UX Researcher-USA"/>
    <s v="Advanced Professional, UI/UX Researcher-USA"/>
    <s v="PT4 - Advanced Professional"/>
    <d v="2025-08-25T00:00:00"/>
    <s v="0 - 3 Months"/>
    <s v="0 year(s), 2 month(s), 25 day(s)"/>
    <m/>
    <m/>
    <m/>
    <m/>
    <m/>
    <x v="5"/>
    <x v="5"/>
    <s v="consider expanding current role, explore lateral/development opportunities "/>
    <s v="Develop in Role - Identify developmental activities to continue to grow their skill and set them up for success for anticiapted progression "/>
    <m/>
    <m/>
    <s v="Olga Ziegelman"/>
    <s v="Elizabeth Benker"/>
    <s v="Erin Howard"/>
    <s v="Olga Ziegelman"/>
  </r>
  <r>
    <n v="1324"/>
    <x v="7"/>
    <s v="Professional, Product Management"/>
    <s v="Professional, Product Management"/>
    <s v="Professional, Product Management-USA"/>
    <s v="PT2 - Professional"/>
    <d v="2014-10-06T00:00:00"/>
    <s v="10 - 15 Years"/>
    <s v="0 year(s), 3 month(s), 30 day(s)"/>
    <s v="Solid"/>
    <s v="Solid"/>
    <s v="Medium"/>
    <s v="Low"/>
    <n v="2"/>
    <x v="5"/>
    <x v="5"/>
    <s v="consider expanding current role, explore lateral/development opportunities "/>
    <s v="Develop in Role - Identify developmental activities to continue to grow their skill and set them up for success for anticiapted progression "/>
    <m/>
    <m/>
    <s v="Lindsey Zibell"/>
    <s v="Laura Williams Argilla"/>
    <s v="Lindsey Zibell"/>
    <m/>
  </r>
  <r>
    <n v="104501"/>
    <x v="8"/>
    <s v="Senior Director, Pricing"/>
    <s v="Sr. Dir, Product Management-USA"/>
    <s v="Sr. Dir, Product Management-USA"/>
    <s v="MT6 - Sr. Director"/>
    <d v="2022-10-17T00:00:00"/>
    <s v="3 - 5 Years"/>
    <s v="3 year(s), 1 month(s), 2 day(s)"/>
    <s v="Strong"/>
    <s v="Strong"/>
    <s v="High"/>
    <s v="Low"/>
    <n v="3"/>
    <x v="1"/>
    <x v="1"/>
    <s v="leverage experience to mentor and growth others "/>
    <s v="Develop in Role - Identify developmental activities to continue to grow their skill and set them up for success for anticiapted progression "/>
    <m/>
    <m/>
    <s v="Ben Canning"/>
    <m/>
    <m/>
    <m/>
  </r>
  <r>
    <n v="105874"/>
    <x v="9"/>
    <s v="Technical Writer"/>
    <s v="Professional, Technical Writer-IND"/>
    <s v="Professional, Technical Writer-IND"/>
    <s v="PT2 - Professional"/>
    <d v="2025-02-10T00:00:00"/>
    <s v="7 - 9 Months"/>
    <s v="0 year(s), 9 month(s), 9 day(s)"/>
    <m/>
    <m/>
    <s v="Medium"/>
    <s v="Medium"/>
    <n v="5"/>
    <x v="6"/>
    <x v="6"/>
    <s v="identify performance barriers, explore portential to expand responsibilties in current role and discuss career aspirations (ideally for talent new in role)"/>
    <s v="Develop in Role - Identify developmental activities to continue to grow their skill and set them up for success for anticiapted progression "/>
    <m/>
    <m/>
    <s v="Marcela Abrach"/>
    <s v="Elizabeth Benker"/>
    <s v="Marcela Abrach"/>
    <m/>
  </r>
  <r>
    <n v="105886"/>
    <x v="10"/>
    <s v="Senior Product Designer"/>
    <s v="Sr. Professional, UI/UX Designer-IND"/>
    <s v="Sr. Professional, UI/UX Designer-IND"/>
    <s v="PT3 - Sr. Professional"/>
    <d v="2024-12-30T00:00:00"/>
    <s v="10 - 12 Months"/>
    <s v="0 year(s), 10 month(s), 20 day(s)"/>
    <m/>
    <m/>
    <s v="Medium"/>
    <s v="Medium"/>
    <n v="5"/>
    <x v="6"/>
    <x v="6"/>
    <s v="identify performance barriers, explore portential to expand responsibilties in current role and discuss career aspirations (ideally for talent new in role)"/>
    <s v="Develop in Role - Identify developmental activities to continue to grow their skill and set them up for success for anticiapted progression "/>
    <m/>
    <m/>
    <s v="Will Hurley"/>
    <s v="Elizabeth Benker"/>
    <s v="Will Hurley"/>
    <m/>
  </r>
  <r>
    <n v="101560"/>
    <x v="11"/>
    <s v="Professional, Product Management-UKR"/>
    <s v="Professional, Product Management-UKR"/>
    <s v="Professional, Product Management-UKR"/>
    <s v="PT2 - Professional"/>
    <d v="2020-12-15T00:00:00"/>
    <s v="3 - 5 Years"/>
    <s v="0 year(s), 0 month(s), 18 day(s)"/>
    <s v="Solid"/>
    <s v="Strong"/>
    <s v="Medium"/>
    <s v="Medium"/>
    <n v="5"/>
    <x v="6"/>
    <x v="6"/>
    <s v="identify performance barriers, explore portential to expand responsibilties in current role and discuss career aspirations (ideally for talent new in role)"/>
    <s v="Develop in Role - Identify developmental activities to continue to grow their skill and set them up for success for anticiapted progression "/>
    <m/>
    <m/>
    <s v="Nicole Johnson"/>
    <s v="Laura Williams Argilla"/>
    <s v="Nicole Johnson"/>
    <m/>
  </r>
  <r>
    <n v="105905"/>
    <x v="12"/>
    <s v="Associate Data Analyst"/>
    <s v="Associate Professional, Technical Product Management-IND"/>
    <s v="Associate Professional, Technical Product Management-IND"/>
    <s v="PT1 - Associate Professional"/>
    <d v="2025-01-06T00:00:00"/>
    <s v="10 - 12 Months"/>
    <s v="0 year(s), 4 month(s), 18 day(s)"/>
    <m/>
    <m/>
    <s v="Medium"/>
    <s v="Medium"/>
    <n v="5"/>
    <x v="6"/>
    <x v="6"/>
    <s v="identify performance barriers, explore portential to expand responsibilties in current role and discuss career aspirations (ideally for talent new in role)"/>
    <s v="Develop in Role - Identify developmental activities to continue to grow their skill and set them up for success for anticiapted progression "/>
    <m/>
    <m/>
    <s v="Hitesh Bakutra"/>
    <s v="Elizabeth Benker"/>
    <s v="Erin Howard"/>
    <s v="Hitesh Bakutra"/>
  </r>
  <r>
    <n v="103538"/>
    <x v="13"/>
    <s v="Product Designer"/>
    <s v="Professional, UI/UX Designer-USA"/>
    <s v="Professional, UI/UX Designer-USA"/>
    <s v="PT2 - Professional"/>
    <d v="2025-09-22T00:00:00"/>
    <s v="0 - 3 Months"/>
    <s v="0 year(s), 1 month(s), 28 day(s)"/>
    <s v="Strong"/>
    <m/>
    <m/>
    <m/>
    <m/>
    <x v="6"/>
    <x v="6"/>
    <s v="identify performance barriers, explore portential to expand responsibilties in current role and discuss career aspirations (ideally for talent new in role)"/>
    <s v="Develop in Role - Identify developmental activities to continue to grow their skill and set them up for success for anticiapted progression "/>
    <m/>
    <m/>
    <s v="Yujia Zhao"/>
    <s v="Elizabeth Benker"/>
    <s v="Yujia Zhao"/>
    <m/>
  </r>
  <r>
    <n v="102092"/>
    <x v="14"/>
    <s v="Principal Product Manager"/>
    <s v="Principal Product Manager"/>
    <s v="Principal, Product Management-USA"/>
    <s v="PT5 - Principal"/>
    <d v="2021-07-12T00:00:00"/>
    <s v="3 - 5 Years"/>
    <s v="0 year(s), 5 month(s), 11 day(s)"/>
    <s v="Strong"/>
    <s v="Leading"/>
    <s v="Low"/>
    <s v="Low"/>
    <n v="1"/>
    <x v="7"/>
    <x v="7"/>
    <s v="re-assign or manage out of Alteryx "/>
    <s v="Make A Plan -  Identify a plan to improve performance in partnership with HR "/>
    <m/>
    <m/>
    <s v="Chad Thompson"/>
    <s v="Chad Thompson"/>
    <s v="Chad Thompson"/>
    <m/>
  </r>
  <r>
    <n v="106400"/>
    <x v="15"/>
    <s v="Principal Product Manager"/>
    <s v="Principal, Product Management-GBR"/>
    <s v="Principal, Product Management-GBR"/>
    <s v="PT5 - Principal"/>
    <d v="2025-11-03T00:00:00"/>
    <s v="0 - 3 Months"/>
    <s v="0 year(s), 0 month(s), 16 day(s)"/>
    <m/>
    <m/>
    <m/>
    <m/>
    <m/>
    <x v="6"/>
    <x v="6"/>
    <s v="identify performance barriers, explore portential to expand responsibilties in current role and discuss career aspirations (ideally for talent new in role)"/>
    <s v="Develop in Role - Identify developmental activities to continue to grow their skill and set them up for success for anticiapted progression "/>
    <m/>
    <m/>
    <s v="Tomáš Mitana"/>
    <s v="Chad Thompson"/>
    <s v="Tomáš Mitana"/>
    <m/>
  </r>
  <r>
    <n v="104466"/>
    <x v="16"/>
    <s v="Lead Product Manager"/>
    <s v="Advanced Professional, Product Management-AUS"/>
    <s v="Advanced Professional, Product Management-AUS"/>
    <s v="PT4 - Advanced Professional"/>
    <d v="2022-09-19T00:00:00"/>
    <s v="3 - 5 Years"/>
    <s v="1 year(s), 2 month(s), 18 day(s)"/>
    <s v="Strong"/>
    <s v="Strong"/>
    <s v="High"/>
    <s v="High"/>
    <n v="9"/>
    <x v="0"/>
    <x v="0"/>
    <s v="identify stretch experiences or temporary assignments, increase executive exposure "/>
    <s v="Differentially Invest - Ensure career discussions are happening regualrly? Do they have an individual depevopment plan? What opportunities exsist to accelerate development and growth? Revist talent often to plan for next steps. "/>
    <m/>
    <m/>
    <s v="Robert D'Arrigo"/>
    <s v="Chad Thompson"/>
    <s v="Robert D'Arrigo"/>
    <m/>
  </r>
  <r>
    <n v="102042"/>
    <x v="17"/>
    <s v="Professional, Product Management-USA"/>
    <s v="Professional, Product Management-USA"/>
    <s v="Professional, Product Management-USA"/>
    <s v="PT2 - Professional"/>
    <d v="2022-07-18T00:00:00"/>
    <s v="3 - 5 Years"/>
    <s v="1 year(s), 8 month(s), 16 day(s)"/>
    <s v="Strong"/>
    <s v="Solid"/>
    <s v="High"/>
    <s v="High"/>
    <n v="9"/>
    <x v="0"/>
    <x v="0"/>
    <s v="identify stretch experiences or temporary assignments, increase executive exposure "/>
    <s v="Differentially Invest - Ensure career discussions are happening regualrly? Do they have an individual depevopment plan? What opportunities exsist to accelerate development and growth? Revist talent often to plan for next steps. "/>
    <m/>
    <m/>
    <s v="Lindsey Zibell"/>
    <s v="Laura Williams Argilla"/>
    <s v="Lindsey Zibell"/>
    <m/>
  </r>
  <r>
    <n v="2298"/>
    <x v="18"/>
    <s v="Sr. Principal, Product Management-USA"/>
    <s v="Sr. Principal, Product Management-USA"/>
    <s v="Sr. Principal, Product Management-USA"/>
    <s v="PT6 - Sr. Principal"/>
    <d v="2018-10-29T00:00:00"/>
    <s v="5 - 10 Years"/>
    <s v="0 year(s), 2 month(s), 18 day(s)"/>
    <s v="Leading"/>
    <s v="Leading"/>
    <s v="High"/>
    <s v="High"/>
    <n v="9"/>
    <x v="0"/>
    <x v="0"/>
    <s v="identify stretch experiences or temporary assignments, increase executive exposure "/>
    <s v="Differentially Invest - Ensure career discussions are happening regualrly? Do they have an individual depevopment plan? What opportunities exsist to accelerate development and growth? Revist talent often to plan for next steps. "/>
    <m/>
    <m/>
    <s v="Chad Thompson"/>
    <s v="Chad Thompson"/>
    <m/>
    <m/>
  </r>
  <r>
    <n v="102671"/>
    <x v="19"/>
    <s v="Manager, Product Delivery Program Management"/>
    <s v="Mgr, Technical Program Management-USA"/>
    <s v="Mgr, Technical Program Management-USA"/>
    <s v="MT2 - Manager"/>
    <d v="2021-10-25T00:00:00"/>
    <s v="3 - 5 Years"/>
    <s v="2 year(s), 10 month(s), 3 day(s)"/>
    <s v="Strong"/>
    <s v="Strong"/>
    <s v="Low"/>
    <s v="Medium"/>
    <n v="4"/>
    <x v="3"/>
    <x v="3"/>
    <s v="re-establish performance expectations in current role, drive performance and re-evaluate in 6-12 months "/>
    <s v="Evaluate Fit/Make A Plan - Identify a coaching plan to improve performance"/>
    <m/>
    <m/>
    <s v="Erin Howard"/>
    <s v="Elizabeth Benker"/>
    <s v="Erin Howard"/>
    <m/>
  </r>
  <r>
    <n v="106265"/>
    <x v="20"/>
    <s v="VP, Product Management"/>
    <s v="VP, Product Management"/>
    <s v="VP, Product Management"/>
    <s v="VP - Vice President"/>
    <d v="2025-07-28T00:00:00"/>
    <s v="0 - 3 Months"/>
    <s v="0 year(s), 3 month(s), 22 day(s)"/>
    <m/>
    <m/>
    <m/>
    <m/>
    <m/>
    <x v="6"/>
    <x v="6"/>
    <s v="identify performance barriers, explore portential to expand responsibilties in current role and discuss career aspirations (ideally for talent new in role)"/>
    <s v="Develop in Role - Identify developmental activities to continue to grow their skill and set them up for success for anticiapted progression "/>
    <m/>
    <m/>
    <s v="Ben Canning"/>
    <m/>
    <m/>
    <m/>
  </r>
  <r>
    <n v="101375"/>
    <x v="21"/>
    <s v="Product Designer"/>
    <s v="Professional, UI/UX Designer-USA"/>
    <s v="Professional, UI/UX Designer-USA"/>
    <s v="PT2 - Professional"/>
    <d v="2020-05-11T00:00:00"/>
    <s v="5 - 10 Years"/>
    <s v="4 year(s), 10 month(s), 18 day(s)"/>
    <s v="Strong"/>
    <s v="Strong"/>
    <s v="Low"/>
    <s v="Low"/>
    <n v="1"/>
    <x v="7"/>
    <x v="7"/>
    <s v="re-assign or manage out of Alteryx "/>
    <s v="Make A Plan -  Identify a plan to improve performance in partnership with HR "/>
    <m/>
    <m/>
    <s v="Yujia Zhao"/>
    <s v="Elizabeth Benker"/>
    <s v="Yujia Zhao"/>
    <m/>
  </r>
  <r>
    <n v="103231"/>
    <x v="22"/>
    <s v="Lead Product Insight Analyst"/>
    <s v="Lead Product Insight Analyst"/>
    <s v="Advanced Professional, Technical Product Management-IND"/>
    <s v="PT4 - Advanced Professional"/>
    <d v="2022-02-07T00:00:00"/>
    <s v="3 - 5 Years"/>
    <s v="1 year(s), 2 month(s), 18 day(s)"/>
    <s v="Solid"/>
    <s v="Strong"/>
    <s v="High"/>
    <s v="High"/>
    <n v="9"/>
    <x v="0"/>
    <x v="0"/>
    <s v="identify stretch experiences or temporary assignments, increase executive exposure "/>
    <s v="Differentially Invest - Ensure career discussions are happening regualrly? Do they have an individual depevopment plan? What opportunities exsist to accelerate development and growth? Revist talent often to plan for next steps. "/>
    <m/>
    <m/>
    <s v="Hitesh Bakutra"/>
    <s v="Elizabeth Benker"/>
    <s v="Erin Howard"/>
    <s v="Hitesh Bakutra"/>
  </r>
  <r>
    <n v="2074"/>
    <x v="23"/>
    <s v="Lead Product Manager"/>
    <s v="Lead Product Manager"/>
    <s v="Advanced Professional, Product Management-USA"/>
    <s v="PT4 - Advanced Professional"/>
    <d v="2018-04-16T00:00:00"/>
    <s v="5 - 10 Years"/>
    <s v="1 year(s), 5 month(s), 10 day(s)"/>
    <s v="Solid"/>
    <s v="Solid"/>
    <s v="High"/>
    <s v="High"/>
    <n v="9"/>
    <x v="0"/>
    <x v="0"/>
    <s v="identify stretch experiences or temporary assignments, increase executive exposure "/>
    <s v="Differentially Invest - Ensure career discussions are happening regualrly? Do they have an individual depevopment plan? What opportunities exsist to accelerate development and growth? Revist talent often to plan for next steps. "/>
    <m/>
    <m/>
    <s v="Kate Butcher"/>
    <s v="Chad Thompson"/>
    <s v="Kate Butcher"/>
    <m/>
  </r>
  <r>
    <n v="101003"/>
    <x v="24"/>
    <s v="Advanced Professional, Technical Writer-USA"/>
    <s v="Advanced Professional, Technical Writer-USA"/>
    <s v="Advanced Professional, Technical Writer-USA"/>
    <s v="PT4 - Advanced Professional"/>
    <d v="2019-12-09T00:00:00"/>
    <s v="5 - 10 Years"/>
    <s v="1 year(s), 8 month(s), 16 day(s)"/>
    <s v="Strong"/>
    <s v="Strong"/>
    <s v="High"/>
    <s v="Medium"/>
    <n v="6"/>
    <x v="6"/>
    <x v="6"/>
    <s v="identify performance barriers, explore portential to expand responsibilties in current role and discuss career aspirations (ideally for talent new in role)"/>
    <s v="Develop in Role - Identify developmental activities to continue to grow their skill and set them up for success for anticiapted progression "/>
    <m/>
    <m/>
    <s v="Marcela Abrach"/>
    <s v="Elizabeth Benker"/>
    <s v="Marcela Abrach"/>
    <m/>
  </r>
  <r>
    <n v="1885"/>
    <x v="25"/>
    <s v="Principal, Product Designer"/>
    <s v="Principal, UI/UX Designer-CZE"/>
    <s v="Principal, UI/UX Designer-CZE"/>
    <s v="PT5 - Principal"/>
    <d v="2017-01-30T00:00:00"/>
    <s v="5 - 10 Years"/>
    <s v="0 year(s), 8 month(s), 18 day(s)"/>
    <s v="Strong"/>
    <s v="Leading"/>
    <s v="High"/>
    <s v="Medium"/>
    <n v="6"/>
    <x v="2"/>
    <x v="2"/>
    <s v="expand responsibilities in current role, identify key experiences and increase executive exposure"/>
    <s v="Differentially Invest - Ensure career discussions are happening regualrly? Do they have an individual depevopment plan? What opportunities exsist to accelerate development and growth? Revist talent often to plan for next steps. "/>
    <m/>
    <m/>
    <s v="Patrik Volek"/>
    <s v="Elizabeth Benker"/>
    <s v="Patrik Volek"/>
    <m/>
  </r>
  <r>
    <n v="105566"/>
    <x v="26"/>
    <s v="Senior Product Analyst"/>
    <s v="Sr. Professional, Technical Product Management-IND"/>
    <s v="Sr. Professional, Technical Product Management-IND"/>
    <s v="PT3 - Sr. Professional"/>
    <d v="2024-09-02T00:00:00"/>
    <s v="13 - 18 Months"/>
    <s v="1 year(s), 2 month(s), 17 day(s)"/>
    <m/>
    <s v="Solid"/>
    <s v="Medium"/>
    <s v="High"/>
    <n v="8"/>
    <x v="4"/>
    <x v="4"/>
    <s v="identify performance barriers, explore portential to expand responsibilties in current role "/>
    <s v="Differentially Invest - Ensure career discussions are happening regualrly? Do they have an individual depevopment plan? What opportunities exsist to accelerate development and growth? Revist talent often to plan for next steps. "/>
    <m/>
    <m/>
    <s v="Hitesh Bakutra"/>
    <s v="Elizabeth Benker"/>
    <s v="Erin Howard"/>
    <s v="Hitesh Bakutra"/>
  </r>
  <r>
    <n v="2011"/>
    <x v="27"/>
    <s v="Lead Pricing Manager"/>
    <s v="Advanced Professional, Technical Program Management-USA"/>
    <s v="Advanced Professional, Technical Program Management-USA"/>
    <s v="PT4 - Advanced Professional"/>
    <d v="2018-02-05T00:00:00"/>
    <s v="5 - 10 Years"/>
    <s v="1 year(s), 8 month(s), 16 day(s)"/>
    <s v="Strong"/>
    <s v="Solid"/>
    <s v="High"/>
    <s v="Low"/>
    <n v="3"/>
    <x v="1"/>
    <x v="1"/>
    <s v="leverage experience to mentor and growth others "/>
    <s v="Develop in Role - Identify developmental activities to continue to grow their skill and set them up for success for anticiapted progression "/>
    <m/>
    <m/>
    <s v="Ani Worlikar"/>
    <s v="Ani Worlikar"/>
    <m/>
    <m/>
  </r>
  <r>
    <n v="103378"/>
    <x v="28"/>
    <s v="VP, Design"/>
    <s v="VP, Design"/>
    <s v="VP, Design"/>
    <s v="VP - Vice President"/>
    <d v="2022-02-07T00:00:00"/>
    <s v="3 - 5 Years"/>
    <s v="0 year(s), 8 month(s), 17 day(s)"/>
    <s v="Leading"/>
    <s v="Leading"/>
    <m/>
    <m/>
    <m/>
    <x v="6"/>
    <x v="6"/>
    <s v="identify performance barriers, explore portential to expand responsibilties in current role and discuss career aspirations (ideally for talent new in role)"/>
    <s v="Develop in Role - Identify developmental activities to continue to grow their skill and set them up for success for anticiapted progression "/>
    <m/>
    <m/>
    <s v="Ben Canning"/>
    <m/>
    <m/>
    <m/>
  </r>
  <r>
    <n v="102674"/>
    <x v="29"/>
    <s v="Team Lead, UI/UX Design-USA"/>
    <s v="Team Lead, UI/UX Design-USA"/>
    <s v="Team Lead, UI/UX Design-USA"/>
    <s v="MT1 - Team Lead"/>
    <d v="2021-10-12T00:00:00"/>
    <s v="3 - 5 Years"/>
    <s v="1 year(s), 1 month(s), 21 day(s)"/>
    <s v="Strong"/>
    <s v="Strong"/>
    <s v="Medium"/>
    <s v="Medium"/>
    <n v="5"/>
    <x v="6"/>
    <x v="6"/>
    <s v="identify performance barriers, explore portential to expand responsibilties in current role and discuss career aspirations (ideally for talent new in role)"/>
    <s v="Develop in Role - Identify developmental activities to continue to grow their skill and set them up for success for anticiapted progression "/>
    <m/>
    <m/>
    <s v="Elizabeth Benker"/>
    <s v="Elizabeth Benker"/>
    <m/>
    <m/>
  </r>
  <r>
    <n v="102702"/>
    <x v="30"/>
    <s v="Senior Product Designer"/>
    <s v="Sr. Professional, UI/UX Designer-AUS"/>
    <s v="Sr. Professional, UI/UX Designer-AUS"/>
    <s v="PT3 - Sr. Professional"/>
    <d v="2021-10-07T00:00:00"/>
    <s v="5 - 10 Years"/>
    <s v="4 year(s), 1 month(s), 12 day(s)"/>
    <s v="Solid"/>
    <m/>
    <s v="High"/>
    <s v="High"/>
    <n v="9"/>
    <x v="0"/>
    <x v="0"/>
    <s v="identify stretch experiences or temporary assignments, increase executive exposure "/>
    <s v="Differentially Invest - Ensure career discussions are happening regualrly? Do they have an individual depevopment plan? What opportunities exsist to accelerate development and growth? Revist talent often to plan for next steps. "/>
    <m/>
    <m/>
    <s v="Will Hurley"/>
    <s v="Elizabeth Benker"/>
    <s v="Will Hurley"/>
    <m/>
  </r>
  <r>
    <n v="102844"/>
    <x v="31"/>
    <s v="Advanced Professional, UI/UX Designer-USA"/>
    <s v="Advanced Professional, UI/UX Designer-USA"/>
    <s v="Advanced Professional, UI/UX Designer-USA"/>
    <s v="PT4 - Advanced Professional"/>
    <d v="2021-11-08T00:00:00"/>
    <s v="3 - 5 Years"/>
    <s v="1 year(s), 8 month(s), 16 day(s)"/>
    <s v="Leading"/>
    <s v="Strong"/>
    <s v="High"/>
    <s v="Medium"/>
    <n v="6"/>
    <x v="2"/>
    <x v="2"/>
    <s v="expand responsibilities in current role, identify key experiences and increase executive exposure"/>
    <s v="Differentially Invest - Ensure career discussions are happening regualrly? Do they have an individual depevopment plan? What opportunities exsist to accelerate development and growth? Revist talent often to plan for next steps. "/>
    <m/>
    <m/>
    <s v="Elizabeth Benker"/>
    <s v="Elizabeth Benker"/>
    <m/>
    <m/>
  </r>
  <r>
    <n v="106408"/>
    <x v="32"/>
    <s v="Sr. Director, Customer Signals"/>
    <s v="Sr. Dir, UI/UX Research-USA"/>
    <s v="Sr. Dir, UI/UX Research-USA"/>
    <s v="MT6 - Sr. Director"/>
    <d v="2025-11-10T00:00:00"/>
    <s v="0 - 3 Months"/>
    <s v="0 year(s), 0 month(s), 9 day(s)"/>
    <m/>
    <m/>
    <m/>
    <m/>
    <m/>
    <x v="6"/>
    <x v="6"/>
    <s v="identify performance barriers, explore portential to expand responsibilties in current role and discuss career aspirations (ideally for talent new in role)"/>
    <s v="Develop in Role - Identify developmental activities to continue to grow their skill and set them up for success for anticiapted progression "/>
    <m/>
    <m/>
    <s v="Elizabeth Benker"/>
    <s v="Elizabeth Benker"/>
    <m/>
    <m/>
  </r>
  <r>
    <n v="106368"/>
    <x v="33"/>
    <s v="Director, Product Management"/>
    <s v="Dir, Product Management-CZE"/>
    <s v="Dir, Product Management-CZE"/>
    <s v="MT5 - Director"/>
    <d v="2025-11-03T00:00:00"/>
    <s v="0 - 3 Months"/>
    <s v="0 year(s), 0 month(s), 16 day(s)"/>
    <m/>
    <m/>
    <m/>
    <m/>
    <m/>
    <x v="6"/>
    <x v="6"/>
    <s v="identify performance barriers, explore portential to expand responsibilties in current role and discuss career aspirations (ideally for talent new in role)"/>
    <s v="Develop in Role - Identify developmental activities to continue to grow their skill and set them up for success for anticiapted progression "/>
    <m/>
    <m/>
    <s v="Laura Williams Argilla"/>
    <s v="Laura Williams Argilla"/>
    <m/>
    <m/>
  </r>
  <r>
    <n v="106330"/>
    <x v="34"/>
    <s v="Pricing Strategy Analyst"/>
    <s v="Professional, Competitive Intelligence-USA"/>
    <s v="Professional, Competitive Intelligence-USA"/>
    <s v="PT2 - Professional"/>
    <d v="2025-09-22T00:00:00"/>
    <s v="0 - 3 Months"/>
    <s v="0 year(s), 1 month(s), 28 day(s)"/>
    <m/>
    <m/>
    <m/>
    <m/>
    <m/>
    <x v="6"/>
    <x v="6"/>
    <s v="identify performance barriers, explore portential to expand responsibilties in current role and discuss career aspirations (ideally for talent new in role)"/>
    <s v="Develop in Role - Identify developmental activities to continue to grow their skill and set them up for success for anticiapted progression "/>
    <m/>
    <m/>
    <s v="Ani Worlikar"/>
    <s v="Ani Worlikar"/>
    <m/>
    <m/>
  </r>
  <r>
    <n v="100735"/>
    <x v="35"/>
    <s v="Product Manager"/>
    <s v="Professional, Product Management-USA"/>
    <s v="Professional, Product Management-USA"/>
    <s v="PT2 - Professional"/>
    <d v="2019-08-12T00:00:00"/>
    <s v="5 - 10 Years"/>
    <s v="3 year(s), 5 month(s), 18 day(s)"/>
    <s v="Solid"/>
    <s v="Solid"/>
    <s v="Medium"/>
    <s v="Medium"/>
    <n v="5"/>
    <x v="6"/>
    <x v="6"/>
    <s v="identify performance barriers, explore portential to expand responsibilties in current role and discuss career aspirations (ideally for talent new in role)"/>
    <s v="Develop in Role - Identify developmental activities to continue to grow their skill and set them up for success for anticiapted progression "/>
    <m/>
    <m/>
    <s v="Rachel Howard"/>
    <s v="Laura Williams Argilla"/>
    <s v="Rachel Howard"/>
    <m/>
  </r>
  <r>
    <n v="102824"/>
    <x v="36"/>
    <s v="Sr. Professional, Technical Writer-USA"/>
    <s v="Sr. Professional, Technical Writer-USA"/>
    <s v="Sr. Professional, Technical Writer-USA"/>
    <s v="PT3 - Sr. Professional"/>
    <d v="2021-11-08T00:00:00"/>
    <s v="3 - 5 Years"/>
    <s v="0 year(s), 8 month(s), 17 day(s)"/>
    <s v="Strong"/>
    <s v="Leading"/>
    <s v="Medium"/>
    <s v="Medium"/>
    <n v="5"/>
    <x v="6"/>
    <x v="6"/>
    <s v="identify performance barriers, explore portential to expand responsibilties in current role and discuss career aspirations (ideally for talent new in role)"/>
    <s v="Develop in Role - Identify developmental activities to continue to grow their skill and set them up for success for anticiapted progression "/>
    <m/>
    <m/>
    <s v="Marcela Abrach"/>
    <s v="Elizabeth Benker"/>
    <s v="Marcela Abrach"/>
    <m/>
  </r>
  <r>
    <n v="106012"/>
    <x v="37"/>
    <s v="UI/UX Researcher"/>
    <s v="Professional, UI/UX Researcher-USA"/>
    <s v="Professional, UI/UX Researcher-USA"/>
    <s v="PT2 - Professional"/>
    <d v="2025-02-18T00:00:00"/>
    <s v="7 - 9 Months"/>
    <s v="0 year(s), 9 month(s), 1 day(s)"/>
    <m/>
    <m/>
    <s v="Medium"/>
    <s v="Medium"/>
    <n v="5"/>
    <x v="6"/>
    <x v="6"/>
    <s v="identify performance barriers, explore portential to expand responsibilties in current role and discuss career aspirations (ideally for talent new in role)"/>
    <s v="Develop in Role - Identify developmental activities to continue to grow their skill and set them up for success for anticiapted progression "/>
    <m/>
    <m/>
    <s v="Olga Ziegelman"/>
    <s v="Elizabeth Benker"/>
    <s v="Erin Howard"/>
    <s v="Olga Ziegelman"/>
  </r>
  <r>
    <n v="101443"/>
    <x v="38"/>
    <s v="Lead Product Manager"/>
    <s v="Advanced Professional, Product Management-USA"/>
    <s v="Advanced Professional, Product Management-USA"/>
    <s v="PT4 - Advanced Professional"/>
    <d v="2020-08-24T00:00:00"/>
    <s v="5 - 10 Years"/>
    <s v="1 year(s), 5 month(s), 18 day(s)"/>
    <s v="Solid"/>
    <s v="Strong"/>
    <s v="Medium"/>
    <s v="Medium"/>
    <n v="5"/>
    <x v="6"/>
    <x v="6"/>
    <s v="identify performance barriers, explore portential to expand responsibilties in current role and discuss career aspirations (ideally for talent new in role)"/>
    <s v="Develop in Role - Identify developmental activities to continue to grow their skill and set them up for success for anticiapted progression "/>
    <m/>
    <m/>
    <s v="Nicole Johnson"/>
    <s v="Laura Williams Argilla"/>
    <s v="Nicole Johnson"/>
    <m/>
  </r>
  <r>
    <n v="105985"/>
    <x v="39"/>
    <s v="Product Analyst"/>
    <s v="Professional, Technical Product Management-IND"/>
    <s v="Professional, Technical Product Management-IND"/>
    <s v="PT2 - Professional"/>
    <d v="2025-02-19T00:00:00"/>
    <s v="7 - 9 Months"/>
    <s v="0 year(s), 9 month(s), 0 day(s)"/>
    <m/>
    <m/>
    <s v="High"/>
    <s v="High"/>
    <n v="9"/>
    <x v="0"/>
    <x v="0"/>
    <s v="identify stretch experiences or temporary assignments, increase executive exposure "/>
    <s v="Differentially Invest - Ensure career discussions are happening regualrly? Do they have an individual depevopment plan? What opportunities exsist to accelerate development and growth? Revist talent often to plan for next steps. "/>
    <m/>
    <m/>
    <s v="Hitesh Bakutra"/>
    <s v="Elizabeth Benker"/>
    <s v="Erin Howard"/>
    <s v="Hitesh Bakutra"/>
  </r>
  <r>
    <n v="105835"/>
    <x v="40"/>
    <s v="Technical Writer"/>
    <s v="Professional, Technical Writer-IND"/>
    <s v="Professional, Technical Writer-IND"/>
    <s v="PT2 - Professional"/>
    <d v="2025-01-20T00:00:00"/>
    <s v="7 - 9 Months"/>
    <s v="0 year(s), 9 month(s), 30 day(s)"/>
    <m/>
    <m/>
    <s v="Medium"/>
    <s v="Medium"/>
    <n v="5"/>
    <x v="6"/>
    <x v="6"/>
    <s v="identify performance barriers, explore portential to expand responsibilties in current role and discuss career aspirations (ideally for talent new in role)"/>
    <s v="Develop in Role - Identify developmental activities to continue to grow their skill and set them up for success for anticiapted progression "/>
    <m/>
    <m/>
    <s v="Marcela Abrach"/>
    <s v="Elizabeth Benker"/>
    <s v="Marcela Abrach"/>
    <m/>
  </r>
  <r>
    <n v="103216"/>
    <x v="41"/>
    <s v="Group Mgr, Product Management-IND"/>
    <s v="Group Mgr, Product Management-IND"/>
    <s v="Group Mgr, Product Management-IND"/>
    <s v="MT4 - Group Manager"/>
    <d v="2022-02-07T00:00:00"/>
    <s v="3 - 5 Years"/>
    <s v="0 year(s), 8 month(s), 18 day(s)"/>
    <s v="Strong"/>
    <s v="Strong"/>
    <s v="Low"/>
    <s v="Medium"/>
    <n v="4"/>
    <x v="3"/>
    <x v="3"/>
    <s v="re-establish performance expectations in current role, drive performance and re-evaluate in 6-12 months "/>
    <s v="Evaluate Fit/Make A Plan - Identify a coaching plan to improve performance"/>
    <m/>
    <m/>
    <s v="Erin Howard"/>
    <s v="Elizabeth Benker"/>
    <s v="Erin Howard"/>
    <m/>
  </r>
  <r>
    <n v="100583"/>
    <x v="42"/>
    <s v="Sr. Product Delivery Program Manager"/>
    <s v="Sr. Professional, Technical Program Management-CZE"/>
    <s v="Sr. Professional, Technical Program Management-CZE"/>
    <s v="PT3 - Sr. Professional"/>
    <d v="2019-05-13T00:00:00"/>
    <s v="5 - 10 Years"/>
    <s v="1 year(s), 8 month(s), 18 day(s)"/>
    <s v="Solid"/>
    <s v="Strong"/>
    <s v="High"/>
    <s v="High"/>
    <n v="9"/>
    <x v="0"/>
    <x v="0"/>
    <s v="identify stretch experiences or temporary assignments, increase executive exposure "/>
    <s v="Differentially Invest - Ensure career discussions are happening regualrly? Do they have an individual depevopment plan? What opportunities exsist to accelerate development and growth? Revist talent often to plan for next steps. "/>
    <m/>
    <m/>
    <s v="Carolyn Blanco Losada"/>
    <s v="Elizabeth Benker"/>
    <s v="Erin Howard"/>
    <s v="Carolyn Blanco Losada"/>
  </r>
  <r>
    <n v="105280"/>
    <x v="43"/>
    <s v="UX Copywriter"/>
    <s v="Professional, UI/UX Designer-IND"/>
    <s v="Professional, UI/UX Designer-IND"/>
    <s v="PT2 - Professional"/>
    <d v="2024-02-21T00:00:00"/>
    <s v="19 - 24 Months"/>
    <s v="1 year(s), 8 month(s), 29 day(s)"/>
    <m/>
    <s v="Solid"/>
    <s v="High"/>
    <s v="Medium"/>
    <n v="6"/>
    <x v="2"/>
    <x v="2"/>
    <s v="expand responsibilities in current role, identify key experiences and increase executive exposure"/>
    <s v="Differentially Invest - Ensure career discussions are happening regualrly? Do they have an individual depevopment plan? What opportunities exsist to accelerate development and growth? Revist talent often to plan for next steps. "/>
    <m/>
    <m/>
    <s v="Elizabeth Benker"/>
    <s v="Elizabeth Benker"/>
    <m/>
    <m/>
  </r>
  <r>
    <n v="104041"/>
    <x v="44"/>
    <s v="Sr. Product Manager"/>
    <s v="Sr. Professional, Product Management-USA"/>
    <s v="Sr. Professional, Product Management-USA"/>
    <s v="PT3 - Sr. Professional"/>
    <d v="2022-06-21T00:00:00"/>
    <s v="3 - 5 Years"/>
    <s v="2 year(s), 10 month(s), 16 day(s)"/>
    <s v="Solid"/>
    <s v="Strong"/>
    <s v="Medium"/>
    <s v="Medium"/>
    <n v="5"/>
    <x v="6"/>
    <x v="6"/>
    <s v="identify performance barriers, explore portential to expand responsibilties in current role and discuss career aspirations (ideally for talent new in role)"/>
    <s v="Develop in Role - Identify developmental activities to continue to grow their skill and set them up for success for anticiapted progression "/>
    <m/>
    <m/>
    <s v="Kate Butcher"/>
    <s v="Chad Thompson"/>
    <s v="Kate Butcher"/>
    <m/>
  </r>
  <r>
    <n v="102723"/>
    <x v="45"/>
    <s v="UX Researcher"/>
    <s v="Professional, UI/UX Researcher-USA"/>
    <s v="Professional, UI/UX Researcher-USA"/>
    <s v="PT2 - Professional"/>
    <d v="2021-10-18T00:00:00"/>
    <s v="3 - 5 Years"/>
    <s v="4 year(s), 1 month(s), 1 day(s)"/>
    <s v="Solid"/>
    <s v="Strong"/>
    <s v="High"/>
    <s v="Medium"/>
    <n v="6"/>
    <x v="2"/>
    <x v="2"/>
    <s v="expand responsibilities in current role, identify key experiences and increase executive exposure"/>
    <s v="Differentially Invest - Ensure career discussions are happening regualrly? Do they have an individual depevopment plan? What opportunities exsist to accelerate development and growth? Revist talent often to plan for next steps. "/>
    <m/>
    <m/>
    <s v="Olga Ziegelman"/>
    <s v="Elizabeth Benker"/>
    <s v="Erin Howard"/>
    <s v="Olga Ziegelman"/>
  </r>
  <r>
    <n v="106369"/>
    <x v="46"/>
    <s v="Sr. Principal Product Manager"/>
    <s v="Sr. Principal, Product Management-USA"/>
    <s v="Sr. Principal, Product Management-USA"/>
    <s v="PT6 - Sr. Principal"/>
    <d v="2025-10-13T00:00:00"/>
    <s v="0 - 3 Months"/>
    <s v="0 year(s), 1 month(s), 6 day(s)"/>
    <m/>
    <m/>
    <m/>
    <m/>
    <m/>
    <x v="6"/>
    <x v="6"/>
    <s v="identify performance barriers, explore portential to expand responsibilties in current role and discuss career aspirations (ideally for talent new in role)"/>
    <s v="Develop in Role - Identify developmental activities to continue to grow their skill and set them up for success for anticiapted progression "/>
    <m/>
    <m/>
    <s v="Chad Thompson"/>
    <s v="Chad Thompson"/>
    <m/>
    <m/>
  </r>
  <r>
    <n v="103074"/>
    <x v="47"/>
    <s v="Lead Product Designer"/>
    <s v="Advanced Professional, UI/UX Designer-AUS"/>
    <s v="Advanced Professional, UI/UX Designer-AUS"/>
    <s v="PT4 - Advanced Professional"/>
    <d v="2022-01-17T00:00:00"/>
    <s v="3 - 5 Years"/>
    <s v="2 year(s), 8 month(s), 18 day(s)"/>
    <s v="Strong"/>
    <m/>
    <s v="Medium"/>
    <s v="High"/>
    <n v="8"/>
    <x v="4"/>
    <x v="4"/>
    <s v="identify performance barriers, explore portential to expand responsibilties in current role "/>
    <s v="Differentially Invest - Ensure career discussions are happening regualrly? Do they have an individual depevopment plan? What opportunities exsist to accelerate development and growth? Revist talent often to plan for next steps. "/>
    <m/>
    <m/>
    <s v="Will Hurley"/>
    <s v="Elizabeth Benker"/>
    <s v="Will Hurley"/>
    <m/>
  </r>
  <r>
    <n v="104765"/>
    <x v="48"/>
    <s v="Sr. Product Manager"/>
    <s v="Sr. Professional, Product Management-CZE"/>
    <s v="Sr. Professional, Product Management-CZE"/>
    <s v="PT3 - Sr. Professional"/>
    <d v="2023-02-01T00:00:00"/>
    <s v="2 - 3 Years"/>
    <s v="1 year(s), 8 month(s), 18 day(s)"/>
    <s v="Strong"/>
    <s v="Solid"/>
    <s v="Low"/>
    <s v="Medium"/>
    <n v="4"/>
    <x v="3"/>
    <x v="3"/>
    <s v="re-establish performance expectations in current role, drive performance and re-evaluate in 6-12 months "/>
    <s v="Evaluate Fit/Make A Plan - Identify a coaching plan to improve performance"/>
    <m/>
    <m/>
    <s v="Rachel Howard"/>
    <s v="Laura Williams Argilla"/>
    <s v="Rachel Howard"/>
    <m/>
  </r>
  <r>
    <n v="100807"/>
    <x v="49"/>
    <s v="Lead Product Designer"/>
    <s v="Advanced Professional, UI/UX Designer-USA"/>
    <s v="Advanced Professional, UI/UX Designer-USA"/>
    <s v="PT4 - Advanced Professional"/>
    <d v="2019-09-16T00:00:00"/>
    <s v="5 - 10 Years"/>
    <s v="2 year(s), 8 month(s), 14 day(s)"/>
    <s v="Strong"/>
    <s v="Strong"/>
    <s v="Medium"/>
    <s v="Medium"/>
    <n v="5"/>
    <x v="6"/>
    <x v="6"/>
    <s v="identify performance barriers, explore portential to expand responsibilties in current role and discuss career aspirations (ideally for talent new in role)"/>
    <s v="Develop in Role - Identify developmental activities to continue to grow their skill and set them up for success for anticiapted progression "/>
    <m/>
    <m/>
    <s v="Katie Fiscus"/>
    <s v="Elizabeth Benker"/>
    <s v="Katie Fiscus"/>
    <m/>
  </r>
  <r>
    <n v="102464"/>
    <x v="50"/>
    <s v="Professional, UI/UX Designer-USA"/>
    <s v="Professional, UI/UX Designer-USA"/>
    <s v="Professional, UI/UX Designer-USA"/>
    <s v="PT2 - Professional"/>
    <d v="2021-08-30T00:00:00"/>
    <s v="3 - 5 Years"/>
    <s v="0 year(s), 1 month(s), 22 day(s)"/>
    <s v="Strong"/>
    <s v="Leading"/>
    <s v="Medium"/>
    <s v="Medium"/>
    <n v="5"/>
    <x v="6"/>
    <x v="6"/>
    <s v="identify performance barriers, explore portential to expand responsibilties in current role and discuss career aspirations (ideally for talent new in role)"/>
    <s v="Develop in Role - Identify developmental activities to continue to grow their skill and set them up for success for anticiapted progression "/>
    <m/>
    <m/>
    <s v="Katie Fiscus"/>
    <s v="Elizabeth Benker"/>
    <s v="Katie Fiscus"/>
    <m/>
  </r>
  <r>
    <n v="102818"/>
    <x v="51"/>
    <s v="Director, Product Management"/>
    <s v="Dir, Product Management-USA"/>
    <s v="Dir, Product Management-USA"/>
    <s v="MT5 - Director"/>
    <d v="2021-11-08T00:00:00"/>
    <s v="3 - 5 Years"/>
    <s v="1 year(s), 4 month(s), 12 day(s)"/>
    <s v="Strong"/>
    <s v="Strong"/>
    <s v="High"/>
    <s v="High"/>
    <n v="9"/>
    <x v="0"/>
    <x v="0"/>
    <s v="identify stretch experiences or temporary assignments, increase executive exposure "/>
    <s v="Differentially Invest - Ensure career discussions are happening regualrly? Do they have an individual depevopment plan? What opportunities exsist to accelerate development and growth? Revist talent often to plan for next steps. "/>
    <m/>
    <m/>
    <s v="Chad Thompson"/>
    <s v="Chad Thompson"/>
    <m/>
    <m/>
  </r>
  <r>
    <n v="100632"/>
    <x v="52"/>
    <s v="Technical Writer"/>
    <s v="Professional, Technical Writer-CZE"/>
    <s v="Professional, Technical Writer-CZE"/>
    <s v="PT2 - Professional"/>
    <d v="2022-05-02T00:00:00"/>
    <s v="3 - 5 Years"/>
    <s v="3 year(s), 6 month(s), 17 day(s)"/>
    <s v="Solid"/>
    <s v="Solid"/>
    <s v="Medium"/>
    <s v="Medium"/>
    <n v="5"/>
    <x v="6"/>
    <x v="6"/>
    <s v="identify performance barriers, explore portential to expand responsibilties in current role and discuss career aspirations (ideally for talent new in role)"/>
    <s v="Develop in Role - Identify developmental activities to continue to grow their skill and set them up for success for anticiapted progression "/>
    <m/>
    <m/>
    <s v="Marcela Abrach"/>
    <s v="Elizabeth Benker"/>
    <s v="Marcela Abrach"/>
    <m/>
  </r>
  <r>
    <n v="102384"/>
    <x v="53"/>
    <s v="Mgr, UI/UX Design-USA"/>
    <s v="Mgr, UI/UX Design-USA"/>
    <s v="Mgr, UI/UX Design-USA"/>
    <s v="MT2 - Manager"/>
    <d v="2021-08-16T00:00:00"/>
    <s v="3 - 5 Years"/>
    <s v="1 year(s), 8 month(s), 16 day(s)"/>
    <s v="Strong"/>
    <s v="Solid"/>
    <s v="Medium"/>
    <s v="Medium"/>
    <n v="5"/>
    <x v="6"/>
    <x v="6"/>
    <s v="identify performance barriers, explore portential to expand responsibilties in current role and discuss career aspirations (ideally for talent new in role)"/>
    <s v="Develop in Role - Identify developmental activities to continue to grow their skill and set them up for success for anticiapted progression "/>
    <m/>
    <m/>
    <s v="Elizabeth Benker"/>
    <s v="Elizabeth Benker"/>
    <m/>
    <m/>
  </r>
  <r>
    <n v="102959"/>
    <x v="54"/>
    <s v="Sr. Product Manager"/>
    <s v="Sr. Professional, Product Management-CZE"/>
    <s v="Sr. Professional, Product Management-CZE"/>
    <s v="PT3 - Sr. Professional"/>
    <d v="2022-02-01T00:00:00"/>
    <s v="3 - 5 Years"/>
    <s v="1 year(s), 2 month(s), 18 day(s)"/>
    <s v="Strong"/>
    <s v="Solid"/>
    <s v="Medium"/>
    <s v="Medium"/>
    <n v="5"/>
    <x v="6"/>
    <x v="6"/>
    <s v="identify performance barriers, explore portential to expand responsibilties in current role and discuss career aspirations (ideally for talent new in role)"/>
    <s v="Develop in Role - Identify developmental activities to continue to grow their skill and set them up for success for anticiapted progression "/>
    <m/>
    <m/>
    <s v="Nicole Johnson"/>
    <s v="Laura Williams Argilla"/>
    <s v="Nicole Johnson"/>
    <m/>
  </r>
  <r>
    <n v="103397"/>
    <x v="55"/>
    <s v="Senior User Interface Designer"/>
    <s v="Sr. Professional, UI/UX Designer-USA"/>
    <s v="Sr. Professional, UI/UX Designer-USA"/>
    <s v="PT3 - Sr. Professional"/>
    <d v="2022-02-07T00:00:00"/>
    <s v="3 - 5 Years"/>
    <s v="3 year(s), 9 month(s), 12 day(s)"/>
    <s v="Strong"/>
    <s v="Strong"/>
    <s v="High"/>
    <s v="High"/>
    <n v="9"/>
    <x v="0"/>
    <x v="0"/>
    <s v="identify stretch experiences or temporary assignments, increase executive exposure "/>
    <s v="Differentially Invest - Ensure career discussions are happening regualrly? Do they have an individual depevopment plan? What opportunities exsist to accelerate development and growth? Revist talent often to plan for next steps. "/>
    <m/>
    <m/>
    <s v="Elizabeth Cardinal"/>
    <s v="Elizabeth Benker"/>
    <s v="Elizabeth Cardinal"/>
    <m/>
  </r>
  <r>
    <n v="102065"/>
    <x v="56"/>
    <s v="Lead Product Designer"/>
    <s v="Lead Product Designer"/>
    <s v="Advanced Professional, UI/UX Designer-USA"/>
    <s v="PT4 - Advanced Professional"/>
    <d v="2021-06-14T00:00:00"/>
    <s v="3 - 5 Years"/>
    <s v="0 year(s), 5 month(s), 11 day(s)"/>
    <s v="Solid"/>
    <s v="Solid"/>
    <s v="Medium"/>
    <s v="Medium"/>
    <n v="5"/>
    <x v="6"/>
    <x v="6"/>
    <s v="identify performance barriers, explore portential to expand responsibilties in current role and discuss career aspirations (ideally for talent new in role)"/>
    <s v="Develop in Role - Identify developmental activities to continue to grow their skill and set them up for success for anticiapted progression "/>
    <m/>
    <m/>
    <s v="Katie Fiscus"/>
    <s v="Elizabeth Benker"/>
    <s v="Katie Fiscus"/>
    <m/>
  </r>
  <r>
    <n v="101254"/>
    <x v="57"/>
    <s v="Sr. Product Manager"/>
    <s v="Sr. Professional, Product Management-USA"/>
    <s v="Sr. Professional, Product Management-USA"/>
    <s v="PT3 - Sr. Professional"/>
    <d v="2020-03-09T00:00:00"/>
    <s v="5 - 10 Years"/>
    <s v="1 year(s), 1 month(s), 21 day(s)"/>
    <s v="Strong"/>
    <s v="Solid"/>
    <s v="Medium"/>
    <s v="Medium"/>
    <n v="5"/>
    <x v="6"/>
    <x v="6"/>
    <s v="identify performance barriers, explore portential to expand responsibilties in current role and discuss career aspirations (ideally for talent new in role)"/>
    <s v="Develop in Role - Identify developmental activities to continue to grow their skill and set them up for success for anticiapted progression "/>
    <m/>
    <m/>
    <s v="Elizabeth Cardinal"/>
    <s v="Elizabeth Benker"/>
    <s v="Elizabeth Cardinal"/>
    <m/>
  </r>
  <r>
    <n v="104925"/>
    <x v="58"/>
    <s v="Sr. Professional, Product Management-GBR"/>
    <s v="Sr. Professional, Product Management-GBR"/>
    <s v="Sr. Professional, Product Management-GBR"/>
    <s v="PT3 - Sr. Professional"/>
    <d v="2023-06-01T00:00:00"/>
    <s v="2 - 3 Years"/>
    <s v="0 year(s), 8 month(s), 6 day(s)"/>
    <s v="Strong"/>
    <s v="Strong"/>
    <s v="Medium"/>
    <s v="Medium"/>
    <n v="5"/>
    <x v="6"/>
    <x v="6"/>
    <s v="identify performance barriers, explore portential to expand responsibilties in current role and discuss career aspirations (ideally for talent new in role)"/>
    <s v="Develop in Role - Identify developmental activities to continue to grow their skill and set them up for success for anticiapted progression "/>
    <m/>
    <m/>
    <s v="Chad Thompson"/>
    <s v="Chad Thompson"/>
    <s v="Chad Thompson"/>
    <m/>
  </r>
  <r>
    <n v="106280"/>
    <x v="59"/>
    <s v="VP, Product Management"/>
    <s v="VP, Product Management"/>
    <s v="VP, Product Management"/>
    <s v="VP - Vice President"/>
    <d v="2025-08-01T00:00:00"/>
    <s v="0 - 3 Months"/>
    <s v="0 year(s), 3 month(s), 18 day(s)"/>
    <m/>
    <m/>
    <m/>
    <m/>
    <m/>
    <x v="6"/>
    <x v="6"/>
    <s v="identify performance barriers, explore portential to expand responsibilties in current role and discuss career aspirations (ideally for talent new in role)"/>
    <s v="Develop in Role - Identify developmental activities to continue to grow their skill and set them up for success for anticiapted progression "/>
    <m/>
    <m/>
    <s v="Ben Canning"/>
    <m/>
    <m/>
    <m/>
  </r>
  <r>
    <n v="106327"/>
    <x v="60"/>
    <s v="Product Designer"/>
    <s v="Professional, UI/UX Designer-USA"/>
    <s v="Professional, UI/UX Designer-USA"/>
    <s v="PT2 - Professional"/>
    <d v="2025-09-22T00:00:00"/>
    <s v="0 - 3 Months"/>
    <s v="0 year(s), 1 month(s), 28 day(s)"/>
    <m/>
    <m/>
    <m/>
    <m/>
    <m/>
    <x v="6"/>
    <x v="6"/>
    <s v="identify performance barriers, explore portential to expand responsibilties in current role and discuss career aspirations (ideally for talent new in role)"/>
    <s v="Develop in Role - Identify developmental activities to continue to grow their skill and set them up for success for anticiapted progression "/>
    <m/>
    <m/>
    <s v="Yujia Zhao"/>
    <s v="Elizabeth Benker"/>
    <s v="Yujia Zhao"/>
    <m/>
  </r>
  <r>
    <n v="1966"/>
    <x v="61"/>
    <s v="Sr. Dir, Product Management-USA"/>
    <s v="Sr. Dir, Product Management-USA"/>
    <s v="Sr. Dir, Product Management-USA"/>
    <s v="MT6 - Sr. Director"/>
    <d v="2018-01-08T00:00:00"/>
    <s v="5 - 10 Years"/>
    <s v="0 year(s), 8 month(s), 17 day(s)"/>
    <s v="Leading"/>
    <s v="Leading"/>
    <s v="Medium"/>
    <s v="High"/>
    <n v="8"/>
    <x v="4"/>
    <x v="4"/>
    <s v="identify performance barriers, explore portential to expand responsibilties in current role "/>
    <s v="Differentially Invest - Ensure career discussions are happening regualrly? Do they have an individual depevopment plan? What opportunities exsist to accelerate development and growth? Revist talent often to plan for next steps. "/>
    <m/>
    <m/>
    <s v="Laura Williams Argilla"/>
    <s v="Laura Williams Argilla"/>
    <m/>
    <m/>
  </r>
  <r>
    <n v="102667"/>
    <x v="62"/>
    <s v="Sr. Professional, UI/UX Researcher-USA"/>
    <s v="Sr. Professional, UI/UX Researcher-USA"/>
    <s v="Sr. Professional, UI/UX Researcher-USA"/>
    <s v="PT3 - Sr. Professional"/>
    <d v="2021-10-25T00:00:00"/>
    <s v="3 - 5 Years"/>
    <s v="2 year(s), 8 month(s), 14 day(s)"/>
    <s v="Strong"/>
    <s v="Strong"/>
    <s v="Medium"/>
    <s v="Medium"/>
    <n v="5"/>
    <x v="6"/>
    <x v="6"/>
    <s v="identify performance barriers, explore portential to expand responsibilties in current role and discuss career aspirations (ideally for talent new in role)"/>
    <s v="Develop in Role - Identify developmental activities to continue to grow their skill and set them up for success for anticiapted progression "/>
    <m/>
    <m/>
    <s v="Olga Ziegelman"/>
    <s v="Elizabeth Benker"/>
    <s v="Erin Howard"/>
    <s v="Olga Ziegelman"/>
  </r>
  <r>
    <n v="105299"/>
    <x v="63"/>
    <s v="Senior Quantitative UX Researcher"/>
    <s v="Sr. Professional, UI/UX Designer-IND"/>
    <s v="Sr. Professional, UI/UX Designer-IND"/>
    <s v="PT3 - Sr. Professional"/>
    <d v="2024-03-18T00:00:00"/>
    <s v="19 - 24 Months"/>
    <s v="1 year(s), 8 month(s), 1 day(s)"/>
    <m/>
    <s v="Solid"/>
    <s v="Medium"/>
    <s v="Medium"/>
    <n v="5"/>
    <x v="6"/>
    <x v="6"/>
    <s v="identify performance barriers, explore portential to expand responsibilties in current role and discuss career aspirations (ideally for talent new in role)"/>
    <s v="Develop in Role - Identify developmental activities to continue to grow their skill and set them up for success for anticiapted progression "/>
    <m/>
    <m/>
    <s v="Olga Ziegelman"/>
    <s v="Elizabeth Benker"/>
    <s v="Erin Howard"/>
    <s v="Olga Ziegelman"/>
  </r>
  <r>
    <n v="105362"/>
    <x v="64"/>
    <s v="Senior Product Manager"/>
    <s v="Sr. Professional, Product Management-IND"/>
    <s v="Sr. Professional, Product Management-IND"/>
    <s v="PT3 - Sr. Professional"/>
    <d v="2024-06-10T00:00:00"/>
    <s v="13 - 18 Months"/>
    <s v="1 year(s), 5 month(s), 9 day(s)"/>
    <m/>
    <s v="Solid"/>
    <s v="Medium"/>
    <s v="Medium"/>
    <n v="5"/>
    <x v="5"/>
    <x v="5"/>
    <s v="consider expanding current role, explore lateral/development opportunities "/>
    <s v="Develop in Role - Identify developmental activities to continue to grow their skill and set them up for success for anticiapted progression "/>
    <m/>
    <m/>
    <s v="Chad Thompson"/>
    <s v="Chad Thompson"/>
    <m/>
    <m/>
  </r>
  <r>
    <n v="100436"/>
    <x v="65"/>
    <s v="Sr. Product Manager"/>
    <s v="Sr. Professional, Product Management-USA"/>
    <s v="Sr. Professional, Product Management-USA"/>
    <s v="PT3 - Sr. Professional"/>
    <d v="2020-01-13T00:00:00"/>
    <s v="5 - 10 Years"/>
    <s v="2 year(s), 2 month(s), 12 day(s)"/>
    <s v="Solid"/>
    <m/>
    <s v="Medium"/>
    <s v="Low"/>
    <n v="2"/>
    <x v="5"/>
    <x v="5"/>
    <s v="consider expanding current role, explore lateral/development opportunities "/>
    <s v="Develop in Role - Identify developmental activities to continue to grow their skill and set them up for success for anticiapted progression "/>
    <m/>
    <m/>
    <s v="Kate Butcher"/>
    <s v="Chad Thompson"/>
    <s v="Kate Butcher"/>
    <m/>
  </r>
  <r>
    <n v="105619"/>
    <x v="66"/>
    <s v="UX Designer"/>
    <s v="Professional, UI/UX Designer-IND"/>
    <s v="Professional, UI/UX Designer-IND"/>
    <s v="PT2 - Professional"/>
    <d v="2024-09-16T00:00:00"/>
    <s v="13 - 18 Months"/>
    <s v="1 year(s), 2 month(s), 3 day(s)"/>
    <m/>
    <s v="Solid"/>
    <s v="Medium"/>
    <s v="Medium"/>
    <n v="5"/>
    <x v="6"/>
    <x v="6"/>
    <s v="identify performance barriers, explore portential to expand responsibilties in current role and discuss career aspirations (ideally for talent new in role)"/>
    <s v="Develop in Role - Identify developmental activities to continue to grow their skill and set them up for success for anticiapted progression "/>
    <m/>
    <m/>
    <s v="Patrik Volek"/>
    <s v="Elizabeth Benker"/>
    <s v="Patrik Volek"/>
    <m/>
  </r>
  <r>
    <n v="101909"/>
    <x v="67"/>
    <s v="Sr. Manager, Global Content"/>
    <s v="Sr. Mgr, Technical Writing-USA"/>
    <s v="Sr. Mgr, Technical Writing-USA"/>
    <s v="MT3 - Sr. Manager"/>
    <d v="2021-05-03T00:00:00"/>
    <s v="3 - 5 Years"/>
    <s v="3 year(s), 4 month(s), 18 day(s)"/>
    <s v="Strong"/>
    <s v="Strong"/>
    <s v="Low"/>
    <s v="Medium"/>
    <n v="4"/>
    <x v="3"/>
    <x v="3"/>
    <s v="re-establish performance expectations in current role, drive performance and re-evaluate in 6-12 months "/>
    <s v="Evaluate Fit/Make A Plan - Identify a coaching plan to improve performance"/>
    <m/>
    <m/>
    <s v="Elizabeth Benker"/>
    <s v="Elizabeth Benker"/>
    <m/>
    <m/>
  </r>
  <r>
    <n v="2253"/>
    <x v="68"/>
    <s v="Lead Product Manager"/>
    <s v="Advanced Professional, Product Management-CZE"/>
    <s v="Advanced Professional, Product Management-CZE"/>
    <s v="PT4 - Advanced Professional"/>
    <d v="2018-10-01T00:00:00"/>
    <s v="5 - 10 Years"/>
    <s v="0 year(s), 8 month(s), 18 day(s)"/>
    <s v="Solid"/>
    <s v="Strong"/>
    <s v="Medium"/>
    <s v="Medium"/>
    <n v="5"/>
    <x v="6"/>
    <x v="6"/>
    <s v="identify performance barriers, explore portential to expand responsibilties in current role and discuss career aspirations (ideally for talent new in role)"/>
    <s v="Develop in Role - Identify developmental activities to continue to grow their skill and set them up for success for anticiapted progression "/>
    <m/>
    <m/>
    <s v="Rachel Howard"/>
    <s v="Laura Williams Argilla"/>
    <s v="Rachel Howard"/>
    <m/>
  </r>
  <r>
    <n v="104252"/>
    <x v="69"/>
    <s v="Senior Product Manager"/>
    <s v="Sr. Professional, Product Management-AUS"/>
    <s v="Sr. Professional, Product Management-AUS"/>
    <s v="PT3 - Sr. Professional"/>
    <d v="2022-08-22T00:00:00"/>
    <s v="3 - 5 Years"/>
    <s v="3 year(s), 2 month(s), 28 day(s)"/>
    <s v="Solid"/>
    <s v="Leading"/>
    <s v="Medium"/>
    <s v="Medium"/>
    <n v="5"/>
    <x v="6"/>
    <x v="6"/>
    <s v="identify performance barriers, explore portential to expand responsibilties in current role and discuss career aspirations (ideally for talent new in role)"/>
    <s v="Develop in Role - Identify developmental activities to continue to grow their skill and set them up for success for anticiapted progression "/>
    <m/>
    <m/>
    <s v="Robert D'Arrigo"/>
    <s v="Chad Thompson"/>
    <s v="Robert D'Arrigo"/>
    <m/>
  </r>
  <r>
    <n v="104712"/>
    <x v="70"/>
    <s v="Sr. Principal Product Manager"/>
    <s v="Sr. Principal Product Manager"/>
    <s v="Sr. Principal, Product Management-USA"/>
    <s v="PT6 - Sr. Principal"/>
    <d v="2022-12-05T00:00:00"/>
    <s v="2 - 3 Years"/>
    <s v="0 year(s), 5 month(s), 11 day(s)"/>
    <s v="Strong"/>
    <s v="Solid"/>
    <s v="Medium"/>
    <s v="Low"/>
    <n v="2"/>
    <x v="5"/>
    <x v="5"/>
    <s v="consider expanding current role, explore lateral/development opportunities "/>
    <s v="Develop in Role - Identify developmental activities to continue to grow their skill and set them up for success for anticiapted progression "/>
    <m/>
    <m/>
    <s v="Kate Butcher"/>
    <s v="Chad Thompson"/>
    <s v="Kate Butcher"/>
    <m/>
  </r>
  <r>
    <n v="104468"/>
    <x v="71"/>
    <s v="Sr. Professional, Product Management-USA"/>
    <s v="Sr. Professional, Product Management-USA"/>
    <s v="Sr. Professional, Product Management-USA"/>
    <s v="PT3 - Sr. Professional"/>
    <d v="2022-09-26T00:00:00"/>
    <s v="3 - 5 Years"/>
    <s v="0 year(s), 8 month(s), 17 day(s)"/>
    <s v="Strong"/>
    <s v="Leading"/>
    <s v="Medium"/>
    <s v="Medium"/>
    <n v="5"/>
    <x v="6"/>
    <x v="6"/>
    <s v="identify performance barriers, explore portential to expand responsibilties in current role and discuss career aspirations (ideally for talent new in role)"/>
    <s v="Develop in Role - Identify developmental activities to continue to grow their skill and set them up for success for anticiapted progression "/>
    <m/>
    <m/>
    <s v="Lindsey Zibell"/>
    <s v="Laura Williams Argilla"/>
    <s v="Lindsey Zibell"/>
    <m/>
  </r>
  <r>
    <n v="106050"/>
    <x v="72"/>
    <s v="Product Manager"/>
    <s v="Professional, Product Management-USA"/>
    <s v="Professional, Product Management-USA"/>
    <s v="PT2 - Professional"/>
    <d v="2025-03-10T00:00:00"/>
    <s v="7 - 9 Months"/>
    <s v="0 year(s), 8 month(s), 9 day(s)"/>
    <m/>
    <m/>
    <s v="Medium"/>
    <s v="Medium"/>
    <n v="5"/>
    <x v="6"/>
    <x v="6"/>
    <s v="identify performance barriers, explore portential to expand responsibilties in current role and discuss career aspirations (ideally for talent new in role)"/>
    <s v="Develop in Role - Identify developmental activities to continue to grow their skill and set them up for success for anticiapted progression "/>
    <m/>
    <m/>
    <s v="Chad Thompson"/>
    <s v="Chad Thompson"/>
    <s v="Chad Thompson"/>
    <m/>
  </r>
  <r>
    <n v="1280"/>
    <x v="73"/>
    <s v="Sr. Professional, Product Management-USA"/>
    <s v="Sr. Professional, Product Management-USA"/>
    <s v="Sr. Professional, Product Management-USA"/>
    <s v="PT3 - Sr. Professional"/>
    <d v="2014-03-17T00:00:00"/>
    <s v="10 - 15 Years"/>
    <s v="1 year(s), 8 month(s), 16 day(s)"/>
    <s v="Strong"/>
    <s v="Leading"/>
    <s v="Medium"/>
    <s v="Medium"/>
    <n v="5"/>
    <x v="6"/>
    <x v="6"/>
    <s v="identify performance barriers, explore portential to expand responsibilties in current role and discuss career aspirations (ideally for talent new in role)"/>
    <s v="Develop in Role - Identify developmental activities to continue to grow their skill and set them up for success for anticiapted progression "/>
    <m/>
    <m/>
    <s v="Nicole Johnson"/>
    <s v="Laura Williams Argilla"/>
    <s v="Nicole Johnson"/>
    <m/>
  </r>
  <r>
    <n v="104112"/>
    <x v="74"/>
    <s v="Professional, Product Management-USA"/>
    <s v="Professional, Product Management-USA"/>
    <s v="Professional, Product Management-USA"/>
    <s v="PT2 - Professional"/>
    <d v="2022-07-18T00:00:00"/>
    <s v="3 - 5 Years"/>
    <s v="0 year(s), 8 month(s), 17 day(s)"/>
    <s v="Solid"/>
    <s v="Strong"/>
    <s v="Low"/>
    <s v="Medium"/>
    <n v="4"/>
    <x v="3"/>
    <x v="3"/>
    <s v="re-establish performance expectations in current role, drive performance and re-evaluate in 6-12 months "/>
    <s v="Evaluate Fit/Make A Plan - Identify a coaching plan to improve performance"/>
    <m/>
    <m/>
    <s v="Rachel Howard"/>
    <s v="Laura Williams Argilla"/>
    <s v="Rachel Howard"/>
    <m/>
  </r>
  <r>
    <n v="100351"/>
    <x v="75"/>
    <s v="Sr. Professional, Product Management-UKR"/>
    <s v="Sr. Professional, Product Management-UKR"/>
    <s v="Sr. Professional, Product Management-UKR"/>
    <s v="PT3 - Sr. Professional"/>
    <d v="2019-02-04T00:00:00"/>
    <s v="5 - 10 Years"/>
    <s v="1 year(s), 8 month(s), 18 day(s)"/>
    <s v="Leading"/>
    <s v="Strong"/>
    <s v="Medium"/>
    <s v="Medium"/>
    <n v="5"/>
    <x v="6"/>
    <x v="6"/>
    <s v="identify performance barriers, explore portential to expand responsibilties in current role and discuss career aspirations (ideally for talent new in role)"/>
    <s v="Develop in Role - Identify developmental activities to continue to grow their skill and set them up for success for anticiapted progression "/>
    <m/>
    <m/>
    <s v="Nicole Johnson"/>
    <s v="Laura Williams Argilla"/>
    <s v="Nicole Johnson"/>
    <m/>
  </r>
  <r>
    <n v="103391"/>
    <x v="76"/>
    <s v="Principal, Technical Product Management - AI &amp; Data"/>
    <s v="Principal, Technical Product Management-USA"/>
    <s v="Principal, Technical Product Management-USA"/>
    <s v="PT5 - Principal"/>
    <d v="2025-10-06T00:00:00"/>
    <s v="0 - 3 Months"/>
    <s v="0 year(s), 1 month(s), 13 day(s)"/>
    <m/>
    <m/>
    <m/>
    <m/>
    <m/>
    <x v="6"/>
    <x v="6"/>
    <s v="identify performance barriers, explore portential to expand responsibilties in current role and discuss career aspirations (ideally for talent new in role)"/>
    <s v="Develop in Role - Identify developmental activities to continue to grow their skill and set them up for success for anticiapted progression "/>
    <m/>
    <m/>
    <s v="Chad Thompson"/>
    <s v="Chad Thompson"/>
    <m/>
    <m/>
  </r>
  <r>
    <n v="103572"/>
    <x v="77"/>
    <s v="Dir, Product Management"/>
    <s v="Dir, Product Management-USA"/>
    <s v="Dir, Product Management-USA"/>
    <s v="MT5 - Director"/>
    <d v="2022-04-25T00:00:00"/>
    <s v="3 - 5 Years"/>
    <s v="0 year(s), 2 month(s), 18 day(s)"/>
    <s v="Strong"/>
    <s v="Leading"/>
    <s v="Medium"/>
    <s v="High"/>
    <n v="8"/>
    <x v="4"/>
    <x v="4"/>
    <s v="identify performance barriers, explore portential to expand responsibilties in current role "/>
    <s v="Differentially Invest - Ensure career discussions are happening regualrly? Do they have an individual depevopment plan? What opportunities exsist to accelerate development and growth? Revist talent often to plan for next steps. "/>
    <m/>
    <m/>
    <s v="Laura Williams Argilla"/>
    <s v="Laura Williams Argilla"/>
    <m/>
    <m/>
  </r>
  <r>
    <n v="103463"/>
    <x v="78"/>
    <s v="Sr. Principal, Product Management-DEU"/>
    <s v="Sr. Principal, Product Management-DEU"/>
    <s v="Sr. Principal, Product Management-DEU"/>
    <s v="PT6 - Sr. Principal"/>
    <d v="2022-02-15T00:00:00"/>
    <s v="3 - 5 Years"/>
    <s v="1 year(s), 8 month(s), 18 day(s)"/>
    <s v="Leading"/>
    <s v="Strong"/>
    <s v="Medium"/>
    <s v="Low"/>
    <n v="2"/>
    <x v="5"/>
    <x v="5"/>
    <s v="consider expanding current role, explore lateral/development opportunities "/>
    <s v="Develop in Role - Identify developmental activities to continue to grow their skill and set them up for success for anticiapted progression "/>
    <m/>
    <m/>
    <s v="Nicole Johnson"/>
    <s v="Laura Williams Argilla"/>
    <s v="Nicole Johnson"/>
    <m/>
  </r>
  <r>
    <n v="101687"/>
    <x v="79"/>
    <s v="Sr. Manager, UX Research"/>
    <s v="Sr. Mgr, UI/UX Research-USA"/>
    <s v="Sr. Mgr, UI/UX Research-USA"/>
    <s v="MT3 - Sr. Manager"/>
    <d v="2021-03-01T00:00:00"/>
    <s v="3 - 5 Years"/>
    <s v="1 year(s), 8 month(s), 16 day(s)"/>
    <s v="Leading"/>
    <s v="Strong"/>
    <s v="Medium"/>
    <s v="Medium"/>
    <n v="5"/>
    <x v="6"/>
    <x v="6"/>
    <s v="identify performance barriers, explore portential to expand responsibilties in current role and discuss career aspirations (ideally for talent new in role)"/>
    <s v="Develop in Role - Identify developmental activities to continue to grow their skill and set them up for success for anticiapted progression "/>
    <m/>
    <m/>
    <s v="Erin Howard"/>
    <s v="Elizabeth Benker"/>
    <s v="Erin Howard"/>
    <m/>
  </r>
  <r>
    <n v="105665"/>
    <x v="80"/>
    <s v="Senior Program Manager"/>
    <s v="Sr. Professional, Technical Program Management-IND"/>
    <s v="Sr. Professional, Technical Program Management-IND"/>
    <s v="PT3 - Sr. Professional"/>
    <d v="2024-10-14T00:00:00"/>
    <s v="13 - 18 Months"/>
    <s v="1 year(s), 1 month(s), 5 day(s)"/>
    <m/>
    <m/>
    <s v="Medium"/>
    <s v="Medium"/>
    <n v="5"/>
    <x v="6"/>
    <x v="6"/>
    <s v="identify performance barriers, explore portential to expand responsibilties in current role and discuss career aspirations (ideally for talent new in role)"/>
    <s v="Develop in Role - Identify developmental activities to continue to grow their skill and set them up for success for anticiapted progression "/>
    <m/>
    <m/>
    <s v="Carolyn Blanco Losada"/>
    <s v="Elizabeth Benker"/>
    <s v="Erin Howard"/>
    <s v="Carolyn Blanco Losada"/>
  </r>
  <r>
    <n v="104467"/>
    <x v="81"/>
    <s v="Interim Manager UX/UI Design"/>
    <s v="Advanced Professional, UI/UX Designer-CZE"/>
    <s v="Advanced Professional, UI/UX Designer-CZE"/>
    <s v="PT4 - Advanced Professional"/>
    <d v="2022-11-01T00:00:00"/>
    <s v="2 - 3 Years"/>
    <s v="1 year(s), 2 month(s), 18 day(s)"/>
    <s v="Strong"/>
    <s v="Solid"/>
    <s v="Medium"/>
    <s v="Medium"/>
    <n v="5"/>
    <x v="6"/>
    <x v="6"/>
    <s v="identify performance barriers, explore portential to expand responsibilties in current role and discuss career aspirations (ideally for talent new in role)"/>
    <s v="Develop in Role - Identify developmental activities to continue to grow their skill and set them up for success for anticiapted progression "/>
    <m/>
    <m/>
    <s v="Elizabeth Benker"/>
    <s v="Elizabeth Benker"/>
    <m/>
    <m/>
  </r>
  <r>
    <n v="101555"/>
    <x v="82"/>
    <s v="Lead Product Manager"/>
    <s v="Advanced Professional, Product Management-CZE"/>
    <s v="Advanced Professional, Product Management-CZE"/>
    <s v="PT4 - Advanced Professional"/>
    <d v="2022-05-02T00:00:00"/>
    <s v="3 - 5 Years"/>
    <s v="0 year(s), 2 month(s), 18 day(s)"/>
    <s v="Solid"/>
    <s v="Strong"/>
    <s v="High"/>
    <s v="Medium"/>
    <n v="6"/>
    <x v="2"/>
    <x v="2"/>
    <s v="expand responsibilities in current role, identify key experiences and increase executive exposure"/>
    <s v="Differentially Invest - Ensure career discussions are happening regualrly? Do they have an individual depevopment plan? What opportunities exsist to accelerate development and growth? Revist talent often to plan for next steps. "/>
    <m/>
    <m/>
    <s v="Tomáš Mitana"/>
    <s v="Chad Thompson"/>
    <s v="Tomáš Mitana"/>
    <m/>
  </r>
  <r>
    <n v="101023"/>
    <x v="83"/>
    <s v="Mgr, UI/UX Design-CZE"/>
    <s v="Mgr, UI/UX Design-CZE"/>
    <s v="Mgr, UI/UX Design-CZE"/>
    <s v="MT2 - Manager"/>
    <d v="2020-01-13T00:00:00"/>
    <s v="5 - 10 Years"/>
    <s v="2 year(s), 8 month(s), 18 day(s)"/>
    <s v="Strong"/>
    <s v="Strong"/>
    <s v="Medium"/>
    <s v="Medium"/>
    <n v="5"/>
    <x v="6"/>
    <x v="6"/>
    <s v="identify performance barriers, explore portential to expand responsibilties in current role and discuss career aspirations (ideally for talent new in role)"/>
    <s v="Develop in Role - Identify developmental activities to continue to grow their skill and set them up for success for anticiapted progression "/>
    <m/>
    <m/>
    <s v="Elizabeth Benker"/>
    <s v="Elizabeth Benker"/>
    <m/>
    <m/>
  </r>
  <r>
    <n v="101721"/>
    <x v="84"/>
    <s v="Lead Product Manager"/>
    <s v="Lead Product Manager"/>
    <s v="Advanced Professional, Product Management-USA"/>
    <s v="PT4 - Advanced Professional"/>
    <d v="2021-03-22T00:00:00"/>
    <s v="3 - 5 Years"/>
    <s v="0 year(s), 5 month(s), 11 day(s)"/>
    <s v="Strong"/>
    <s v="Leading"/>
    <s v="Medium"/>
    <s v="High"/>
    <n v="8"/>
    <x v="4"/>
    <x v="4"/>
    <s v="identify performance barriers, explore portential to expand responsibilties in current role "/>
    <s v="Differentially Invest - Ensure career discussions are happening regualrly? Do they have an individual depevopment plan? What opportunities exsist to accelerate development and growth? Revist talent often to plan for next steps. "/>
    <m/>
    <m/>
    <s v="Lindsey Zibell"/>
    <s v="Laura Williams Argilla"/>
    <s v="Lindsey Zibell"/>
    <m/>
  </r>
  <r>
    <n v="105334"/>
    <x v="85"/>
    <s v="UX Designer"/>
    <s v="Professional, UI/UX Designer-IND"/>
    <s v="Professional, UI/UX Designer-IND"/>
    <s v="PT2 - Professional"/>
    <d v="2024-06-03T00:00:00"/>
    <s v="13 - 18 Months"/>
    <s v="1 year(s), 5 month(s), 16 day(s)"/>
    <m/>
    <s v="Solid"/>
    <s v="Medium"/>
    <s v="Medium"/>
    <n v="5"/>
    <x v="6"/>
    <x v="6"/>
    <s v="identify performance barriers, explore portential to expand responsibilties in current role and discuss career aspirations (ideally for talent new in role)"/>
    <s v="Develop in Role - Identify developmental activities to continue to grow their skill and set them up for success for anticiapted progression "/>
    <m/>
    <m/>
    <s v="Patrik Volek"/>
    <s v="Elizabeth Benker"/>
    <s v="Patrik Volek"/>
    <m/>
  </r>
  <r>
    <n v="103289"/>
    <x v="86"/>
    <s v="Lead Product Analyst"/>
    <s v="Advanced Professional, Technical Product Management-IND"/>
    <s v="Advanced Professional, Technical Product Management-IND"/>
    <s v="PT4 - Advanced Professional"/>
    <d v="2022-02-07T00:00:00"/>
    <s v="3 - 5 Years"/>
    <s v="0 year(s), 8 month(s), 18 day(s)"/>
    <s v="Strong"/>
    <s v="Leading"/>
    <s v="Medium"/>
    <s v="Medium"/>
    <n v="5"/>
    <x v="6"/>
    <x v="6"/>
    <s v="identify performance barriers, explore portential to expand responsibilties in current role and discuss career aspirations (ideally for talent new in role)"/>
    <s v="Develop in Role - Identify developmental activities to continue to grow their skill and set them up for success for anticiapted progression "/>
    <m/>
    <m/>
    <s v="Hitesh Bakutra"/>
    <s v="Elizabeth Benker"/>
    <s v="Erin Howard"/>
    <s v="Hitesh Bakutra"/>
  </r>
  <r>
    <n v="106360"/>
    <x v="87"/>
    <s v="Sr. Principal Product Manager"/>
    <s v="Sr. Principal, Product Management-USA"/>
    <s v="Sr. Principal, Product Management-USA"/>
    <s v="PT6 - Sr. Principal"/>
    <d v="2025-10-13T00:00:00"/>
    <s v="0 - 3 Months"/>
    <s v="0 year(s), 1 month(s), 6 day(s)"/>
    <m/>
    <m/>
    <m/>
    <m/>
    <m/>
    <x v="6"/>
    <x v="6"/>
    <s v="identify performance barriers, explore portential to expand responsibilties in current role and discuss career aspirations (ideally for talent new in role)"/>
    <s v="Develop in Role - Identify developmental activities to continue to grow their skill and set them up for success for anticiapted progression "/>
    <m/>
    <m/>
    <s v="Chad Thompson"/>
    <s v="Chad Thompson"/>
    <m/>
    <m/>
  </r>
  <r>
    <n v="102014"/>
    <x v="88"/>
    <s v="Dir, Product Management"/>
    <s v="Dir, Product Management-USA"/>
    <s v="Dir, Product Management-USA"/>
    <s v="MT5 - Director"/>
    <d v="2021-05-24T00:00:00"/>
    <s v="3 - 5 Years"/>
    <s v="0 year(s), 8 month(s), 17 day(s)"/>
    <s v="Solid"/>
    <s v="Strong"/>
    <s v="Medium"/>
    <s v="High"/>
    <n v="8"/>
    <x v="4"/>
    <x v="4"/>
    <s v="identify performance barriers, explore portential to expand responsibilties in current role "/>
    <s v="Differentially Invest - Ensure career discussions are happening regualrly? Do they have an individual depevopment plan? What opportunities exsist to accelerate development and growth? Revist talent often to plan for next steps. "/>
    <m/>
    <m/>
    <s v="Laura Williams Argilla"/>
    <s v="Laura Williams Argilla"/>
    <m/>
    <m/>
  </r>
  <r>
    <n v="102873"/>
    <x v="89"/>
    <s v="Sr. Product Designer"/>
    <s v="Sr. Professional, UI/UX Designer-USA"/>
    <s v="Sr. Professional, UI/UX Designer-USA"/>
    <s v="PT3 - Sr. Professional"/>
    <d v="2021-11-29T00:00:00"/>
    <s v="3 - 5 Years"/>
    <s v="1 year(s), 8 month(s), 16 day(s)"/>
    <s v="Leading"/>
    <s v="Strong"/>
    <s v="High"/>
    <s v="Medium"/>
    <n v="6"/>
    <x v="2"/>
    <x v="2"/>
    <s v="expand responsibilities in current role, identify key experiences and increase executive exposure"/>
    <s v="Differentially Invest - Ensure career discussions are happening regualrly? Do they have an individual depevopment plan? What opportunities exsist to accelerate development and growth? Revist talent often to plan for next steps. "/>
    <m/>
    <m/>
    <s v="Yujia Zhao"/>
    <s v="Elizabeth Benker"/>
    <s v="Yujia Zhao"/>
    <m/>
  </r>
  <r>
    <n v="102695"/>
    <x v="90"/>
    <s v="Lead Product Manager"/>
    <s v="Advanced Professional, Product Management-AUS"/>
    <s v="Advanced Professional, Product Management-AUS"/>
    <s v="PT4 - Advanced Professional"/>
    <d v="2021-10-07T00:00:00"/>
    <s v="5 - 10 Years"/>
    <s v="2 year(s), 1 month(s), 18 day(s)"/>
    <s v="Strong"/>
    <s v="Strong"/>
    <s v="Medium"/>
    <s v="High"/>
    <n v="8"/>
    <x v="4"/>
    <x v="4"/>
    <s v="identify performance barriers, explore portential to expand responsibilties in current role "/>
    <s v="Differentially Invest - Ensure career discussions are happening regualrly? Do they have an individual depevopment plan? What opportunities exsist to accelerate development and growth? Revist talent often to plan for next steps. "/>
    <m/>
    <m/>
    <s v="Robert D'Arrigo"/>
    <s v="Chad Thompson"/>
    <s v="Robert D'Arrigo"/>
    <m/>
  </r>
  <r>
    <n v="105983"/>
    <x v="91"/>
    <s v="Product Analyst"/>
    <s v="Professional, Technical Product Management-IND"/>
    <s v="Professional, Technical Product Management-IND"/>
    <s v="PT2 - Professional"/>
    <d v="2025-02-10T00:00:00"/>
    <s v="7 - 9 Months"/>
    <s v="0 year(s), 9 month(s), 9 day(s)"/>
    <m/>
    <m/>
    <s v="Medium"/>
    <s v="Medium"/>
    <n v="5"/>
    <x v="6"/>
    <x v="6"/>
    <s v="identify performance barriers, explore portential to expand responsibilties in current role and discuss career aspirations (ideally for talent new in role)"/>
    <s v="Develop in Role - Identify developmental activities to continue to grow their skill and set them up for success for anticiapted progression "/>
    <m/>
    <m/>
    <s v="Hitesh Bakutra"/>
    <s v="Elizabeth Benker"/>
    <s v="Erin Howard"/>
    <s v="Hitesh Bakutra"/>
  </r>
  <r>
    <n v="106119"/>
    <x v="92"/>
    <s v="Product Manager"/>
    <s v="Professional, Product Management-CZE"/>
    <s v="Professional, Product Management-CZE"/>
    <s v="PT2 - Professional"/>
    <d v="2025-04-14T00:00:00"/>
    <s v="7 - 9 Months"/>
    <s v="0 year(s), 7 month(s), 5 day(s)"/>
    <m/>
    <m/>
    <s v="Medium"/>
    <s v="Medium"/>
    <n v="5"/>
    <x v="6"/>
    <x v="6"/>
    <s v="identify performance barriers, explore portential to expand responsibilties in current role and discuss career aspirations (ideally for talent new in role)"/>
    <s v="Develop in Role - Identify developmental activities to continue to grow their skill and set them up for success for anticiapted progression "/>
    <m/>
    <m/>
    <s v="Tomáš Mitana"/>
    <s v="Chad Thompson"/>
    <s v="Tomáš Mitana"/>
    <m/>
  </r>
  <r>
    <n v="1580"/>
    <x v="93"/>
    <s v="Sr. Professional, Product Management"/>
    <s v="Sr. Professional, Product Management"/>
    <s v="Sr. Professional, Product Management-USA"/>
    <s v="PT3 - Sr. Professional"/>
    <d v="2016-03-14T00:00:00"/>
    <s v="5 - 10 Years"/>
    <s v="0 year(s), 4 month(s), 3 day(s)"/>
    <s v="Strong"/>
    <s v="Strong"/>
    <s v="Medium"/>
    <s v="Medium"/>
    <n v="5"/>
    <x v="6"/>
    <x v="6"/>
    <s v="identify performance barriers, explore portential to expand responsibilties in current role and discuss career aspirations (ideally for talent new in role)"/>
    <s v="Develop in Role - Identify developmental activities to continue to grow their skill and set them up for success for anticiapted progression "/>
    <m/>
    <m/>
    <s v="Nicole Johnson"/>
    <s v="Laura Williams Argilla"/>
    <s v="Nicole Johnson"/>
    <m/>
  </r>
  <r>
    <n v="102692"/>
    <x v="94"/>
    <s v="Sr. Director, Product Management"/>
    <s v="Sr. Dir, Product Management-AUS"/>
    <s v="Sr. Dir, Product Management-AUS"/>
    <s v="MT6 - Sr. Director"/>
    <d v="2021-10-07T00:00:00"/>
    <s v="5 - 10 Years"/>
    <s v="1 year(s), 8 month(s), 18 day(s)"/>
    <s v="Strong"/>
    <s v="Leading"/>
    <s v="High"/>
    <s v="High"/>
    <n v="9"/>
    <x v="0"/>
    <x v="0"/>
    <s v="identify stretch experiences or temporary assignments, increase executive exposure "/>
    <s v="Differentially Invest - Ensure career discussions are happening regualrly? Do they have an individual depevopment plan? What opportunities exsist to accelerate development and growth? Revist talent often to plan for next steps. "/>
    <m/>
    <m/>
    <s v="Chad Thompson"/>
    <s v="Chad Thompson"/>
    <m/>
    <m/>
  </r>
  <r>
    <n v="106106"/>
    <x v="95"/>
    <s v="Senior Technical Writer"/>
    <s v="Sr. Professional, Technical Writer-IND"/>
    <s v="Sr. Professional, Technical Writer-IND"/>
    <s v="PT3 - Sr. Professional"/>
    <d v="2025-04-07T00:00:00"/>
    <s v="7 - 9 Months"/>
    <s v="0 year(s), 7 month(s), 12 day(s)"/>
    <m/>
    <m/>
    <s v="Medium"/>
    <s v="Medium"/>
    <n v="5"/>
    <x v="6"/>
    <x v="6"/>
    <s v="identify performance barriers, explore portential to expand responsibilties in current role and discuss career aspirations (ideally for talent new in role)"/>
    <s v="Develop in Role - Identify developmental activities to continue to grow their skill and set them up for success for anticiapted progression "/>
    <m/>
    <m/>
    <s v="Marcela Abrach"/>
    <s v="Elizabeth Benker"/>
    <s v="Marcela Abrach"/>
    <m/>
  </r>
  <r>
    <n v="100722"/>
    <x v="96"/>
    <s v="Sr. Professional, Product Management-UKR"/>
    <s v="Sr. Professional, Product Management-UKR"/>
    <s v="Sr. Professional, Product Management-UKR"/>
    <s v="PT3 - Sr. Professional"/>
    <d v="2019-07-15T00:00:00"/>
    <s v="5 - 10 Years"/>
    <s v="0 year(s), 0 month(s), 18 day(s)"/>
    <s v="Strong"/>
    <s v="Solid"/>
    <s v="Medium"/>
    <s v="Medium"/>
    <n v="5"/>
    <x v="6"/>
    <x v="6"/>
    <s v="identify performance barriers, explore portential to expand responsibilties in current role and discuss career aspirations (ideally for talent new in role)"/>
    <s v="Develop in Role - Identify developmental activities to continue to grow their skill and set them up for success for anticiapted progression "/>
    <m/>
    <m/>
    <s v="Nicole Johnson"/>
    <s v="Laura Williams Argilla"/>
    <s v="Nicole Johnson"/>
    <m/>
  </r>
  <r>
    <n v="106099"/>
    <x v="97"/>
    <s v="Executive Assistant to the Chief Product Officer"/>
    <s v="Executive Assistant to Chief Officer-USA"/>
    <s v="Executive Assistant to Chief Officer-USA"/>
    <s v="P3 - Sr. Professional"/>
    <d v="2025-04-07T00:00:00"/>
    <s v="7 - 9 Months"/>
    <s v="0 year(s), 7 month(s), 12 day(s)"/>
    <m/>
    <m/>
    <m/>
    <m/>
    <s v=""/>
    <x v="6"/>
    <x v="6"/>
    <s v="identify performance barriers, explore portential to expand responsibilties in current role and discuss career aspirations (ideally for talent new in role)"/>
    <s v="Develop in Role - Identify developmental activities to continue to grow their skill and set them up for success for anticiapted progression "/>
    <m/>
    <m/>
    <s v="Ben Canning"/>
    <m/>
    <m/>
    <m/>
  </r>
  <r>
    <n v="103293"/>
    <x v="98"/>
    <s v="Lead Product Insight Analyst"/>
    <s v="Advanced Professional, Technical Product Management-IND"/>
    <s v="Advanced Professional, Technical Product Management-IND"/>
    <s v="PT4 - Advanced Professional"/>
    <d v="2022-02-07T00:00:00"/>
    <s v="3 - 5 Years"/>
    <s v="1 year(s), 2 month(s), 18 day(s)"/>
    <s v="Leading"/>
    <s v="Strong"/>
    <s v="High"/>
    <s v="High"/>
    <n v="9"/>
    <x v="0"/>
    <x v="0"/>
    <s v="identify stretch experiences or temporary assignments, increase executive exposure "/>
    <s v="Differentially Invest - Ensure career discussions are happening regualrly? Do they have an individual depevopment plan? What opportunities exsist to accelerate development and growth? Revist talent often to plan for next steps. "/>
    <m/>
    <m/>
    <s v="Hitesh Bakutra"/>
    <s v="Elizabeth Benker"/>
    <s v="Erin Howard"/>
    <s v="Hitesh Bakutra"/>
  </r>
  <r>
    <n v="105980"/>
    <x v="99"/>
    <s v="Principal, Product Management-IND"/>
    <s v="Principal, Product Management-IND"/>
    <s v="Principal, Product Management-IND"/>
    <s v="PT5 - Principal"/>
    <d v="2025-02-05T00:00:00"/>
    <s v="7 - 9 Months"/>
    <s v="0 year(s), 3 month(s), 15 day(s)"/>
    <m/>
    <m/>
    <s v="Medium"/>
    <s v="Medium"/>
    <n v="5"/>
    <x v="6"/>
    <x v="6"/>
    <s v="identify performance barriers, explore portential to expand responsibilties in current role and discuss career aspirations (ideally for talent new in role)"/>
    <s v="Develop in Role - Identify developmental activities to continue to grow their skill and set them up for success for anticiapted progression "/>
    <m/>
    <m/>
    <s v="Tomáš Mitana"/>
    <s v="Chad Thompson"/>
    <s v="Tomáš Mitana"/>
    <m/>
  </r>
  <r>
    <n v="106110"/>
    <x v="100"/>
    <s v="Senior Product Manager"/>
    <s v="Sr. Professional, Product Management-IND"/>
    <s v="Sr. Professional, Product Management-IND"/>
    <s v="PT3 - Sr. Professional"/>
    <d v="2025-04-07T00:00:00"/>
    <s v="7 - 9 Months"/>
    <s v="0 year(s), 7 month(s), 12 day(s)"/>
    <m/>
    <m/>
    <s v="Medium"/>
    <s v="Medium"/>
    <n v="5"/>
    <x v="6"/>
    <x v="6"/>
    <s v="identify performance barriers, explore portential to expand responsibilties in current role and discuss career aspirations (ideally for talent new in role)"/>
    <s v="Develop in Role - Identify developmental activities to continue to grow their skill and set them up for success for anticiapted progression "/>
    <m/>
    <m/>
    <s v="Robert D'Arrigo"/>
    <s v="Chad Thompson"/>
    <s v="Robert D'Arrigo"/>
    <m/>
  </r>
  <r>
    <n v="103904"/>
    <x v="101"/>
    <s v="Sr. UX Designer"/>
    <s v="Sr. Professional, UI/UX Designer-CZE"/>
    <s v="Sr. Professional, UI/UX Designer-CZE"/>
    <s v="PT3 - Sr. Professional"/>
    <d v="2022-07-01T00:00:00"/>
    <s v="3 - 5 Years"/>
    <s v="0 year(s), 2 month(s), 18 day(s)"/>
    <s v="Strong"/>
    <s v="Strong"/>
    <s v="High"/>
    <s v="High"/>
    <n v="9"/>
    <x v="0"/>
    <x v="0"/>
    <s v="identify stretch experiences or temporary assignments, increase executive exposure "/>
    <s v="Differentially Invest - Ensure career discussions are happening regualrly? Do they have an individual depevopment plan? What opportunities exsist to accelerate development and growth? Revist talent often to plan for next steps. "/>
    <m/>
    <m/>
    <s v="Patrik Volek"/>
    <s v="Elizabeth Benker"/>
    <s v="Patrik Volek"/>
    <m/>
  </r>
  <r>
    <n v="105866"/>
    <x v="102"/>
    <s v="Senior Product Designer"/>
    <s v="Sr. Professional, UI/UX Designer-IND"/>
    <s v="Sr. Professional, UI/UX Designer-IND"/>
    <s v="PT3 - Sr. Professional"/>
    <d v="2025-01-06T00:00:00"/>
    <s v="10 - 12 Months"/>
    <s v="0 year(s), 10 month(s), 13 day(s)"/>
    <m/>
    <m/>
    <s v="Medium"/>
    <s v="Low"/>
    <n v="2"/>
    <x v="5"/>
    <x v="5"/>
    <s v="consider expanding current role, explore lateral/development opportunities "/>
    <s v="Develop in Role - Identify developmental activities to continue to grow their skill and set them up for success for anticiapted progression "/>
    <m/>
    <m/>
    <s v="Will Hurley"/>
    <s v="Elizabeth Benker"/>
    <s v="Will Hurley"/>
    <m/>
  </r>
  <r>
    <n v="105931"/>
    <x v="103"/>
    <s v="Design System Designer"/>
    <s v="Professional, UI/UX Designer-IND"/>
    <s v="Professional, UI/UX Designer-IND"/>
    <s v="PT2 - Professional"/>
    <d v="2025-02-10T00:00:00"/>
    <s v="7 - 9 Months"/>
    <s v="0 year(s), 9 month(s), 9 day(s)"/>
    <m/>
    <m/>
    <s v="Medium"/>
    <s v="Medium"/>
    <n v="5"/>
    <x v="6"/>
    <x v="6"/>
    <s v="identify performance barriers, explore portential to expand responsibilties in current role and discuss career aspirations (ideally for talent new in role)"/>
    <s v="Develop in Role - Identify developmental activities to continue to grow their skill and set them up for success for anticiapted progression "/>
    <m/>
    <m/>
    <s v="Elizabeth Cardinal"/>
    <s v="Elizabeth Benker"/>
    <s v="Elizabeth Cardinal"/>
    <m/>
  </r>
  <r>
    <n v="101900"/>
    <x v="104"/>
    <s v="Product Designer"/>
    <s v="Professional, UI/UX Designer-USA"/>
    <s v="Professional, UI/UX Designer-USA"/>
    <s v="PT2 - Professional"/>
    <d v="2025-08-18T00:00:00"/>
    <s v="0 - 3 Months"/>
    <s v="0 year(s), 3 month(s), 1 day(s)"/>
    <s v="Solid"/>
    <m/>
    <m/>
    <m/>
    <m/>
    <x v="6"/>
    <x v="6"/>
    <s v="identify performance barriers, explore portential to expand responsibilties in current role and discuss career aspirations (ideally for talent new in role)"/>
    <s v="Develop in Role - Identify developmental activities to continue to grow their skill and set them up for success for anticiapted progression "/>
    <m/>
    <m/>
    <s v="Katie Fiscus"/>
    <s v="Elizabeth Benker"/>
    <s v="Katie Fiscus"/>
    <m/>
  </r>
  <r>
    <n v="104147"/>
    <x v="105"/>
    <s v="Sr. Principal Product Manager"/>
    <s v="Sr. Principal Product Manager"/>
    <s v="Sr. Principal, Product Management-USA"/>
    <s v="PT6 - Sr. Principal"/>
    <d v="2022-07-11T00:00:00"/>
    <s v="3 - 5 Years"/>
    <s v="0 year(s), 5 month(s), 11 day(s)"/>
    <s v="Strong"/>
    <s v="Strong"/>
    <s v="Medium"/>
    <s v="Medium"/>
    <n v="5"/>
    <x v="6"/>
    <x v="6"/>
    <s v="identify performance barriers, explore portential to expand responsibilties in current role and discuss career aspirations (ideally for talent new in role)"/>
    <s v="Develop in Role - Identify developmental activities to continue to grow their skill and set them up for success for anticiapted progression "/>
    <m/>
    <m/>
    <s v="Chad Thompson"/>
    <s v="Chad Thompson"/>
    <s v="Chad Thompson"/>
    <m/>
  </r>
  <r>
    <n v="106308"/>
    <x v="106"/>
    <s v="Senior Product Designer"/>
    <s v="Sr. Professional, UI/UX Designer-CZE"/>
    <s v="Sr. Professional, UI/UX Designer-CZE"/>
    <s v="PT3 - Sr. Professional"/>
    <d v="2025-09-15T00:00:00"/>
    <s v="0 - 3 Months"/>
    <s v="0 year(s), 2 month(s), 4 day(s)"/>
    <m/>
    <m/>
    <m/>
    <m/>
    <m/>
    <x v="6"/>
    <x v="6"/>
    <s v="identify performance barriers, explore portential to expand responsibilties in current role and discuss career aspirations (ideally for talent new in role)"/>
    <s v="Develop in Role - Identify developmental activities to continue to grow their skill and set them up for success for anticiapted progression "/>
    <m/>
    <m/>
    <s v="Katie Fiscus"/>
    <s v="Elizabeth Benker"/>
    <s v="Katie Fiscus"/>
    <m/>
  </r>
  <r>
    <n v="102284"/>
    <x v="107"/>
    <s v="Technical Writer"/>
    <s v="Professional, Technical Writer-CZE"/>
    <s v="Professional, Technical Writer-CZE"/>
    <s v="PT2 - Professional"/>
    <d v="2021-08-02T00:00:00"/>
    <s v="3 - 5 Years"/>
    <s v="4 year(s), 3 month(s), 17 day(s)"/>
    <s v="Strong"/>
    <s v="Strong"/>
    <s v="Medium"/>
    <s v="Medium"/>
    <n v="5"/>
    <x v="6"/>
    <x v="6"/>
    <s v="identify performance barriers, explore portential to expand responsibilties in current role and discuss career aspirations (ideally for talent new in role)"/>
    <s v="Develop in Role - Identify developmental activities to continue to grow their skill and set them up for success for anticiapted progression "/>
    <m/>
    <m/>
    <s v="Marcela Abrach"/>
    <s v="Elizabeth Benker"/>
    <s v="Marcela Abrach"/>
    <m/>
  </r>
  <r>
    <n v="106415"/>
    <x v="108"/>
    <s v="Sr. Director, Product Management - Data &amp; Connectivity"/>
    <s v="Sr. Dir, Product Management-CZE"/>
    <s v="Sr. Dir, Product Management-CZE"/>
    <s v="MT6 - Sr. Director"/>
    <d v="2025-11-10T00:00:00"/>
    <s v="0 - 3 Months"/>
    <s v="0 year(s), 0 month(s), 9 day(s)"/>
    <m/>
    <m/>
    <m/>
    <m/>
    <m/>
    <x v="6"/>
    <x v="6"/>
    <s v="identify performance barriers, explore portential to expand responsibilties in current role and discuss career aspirations (ideally for talent new in role)"/>
    <s v="Develop in Role - Identify developmental activities to continue to grow their skill and set them up for success for anticiapted progression "/>
    <m/>
    <m/>
    <s v="Chad Thompson"/>
    <s v="Chad Thompson"/>
    <m/>
    <m/>
  </r>
  <r>
    <n v="100564"/>
    <x v="109"/>
    <s v="Sr. Professional, Product Management"/>
    <s v="Sr. Professional, Product Management-USA"/>
    <s v="Sr. Professional, Product Management-USA"/>
    <s v="PT3 - Sr. Professional"/>
    <d v="2019-04-29T00:00:00"/>
    <s v="5 - 10 Years"/>
    <s v="0 year(s), 3 month(s), 26 day(s)"/>
    <s v="Strong"/>
    <s v="Strong"/>
    <s v="Low"/>
    <s v="Medium"/>
    <n v="4"/>
    <x v="3"/>
    <x v="3"/>
    <s v="re-establish performance expectations in current role, drive performance and re-evaluate in 6-12 months "/>
    <s v="Evaluate Fit/Make A Plan - Identify a coaching plan to improve performance"/>
    <m/>
    <m/>
    <s v="Rachel Howard"/>
    <s v="Laura Williams Argilla"/>
    <s v="Rachel Howard"/>
    <m/>
  </r>
  <r>
    <n v="101274"/>
    <x v="110"/>
    <s v="Principal, Product Management-USA"/>
    <s v="Principal, Product Management-USA"/>
    <s v="Principal, Product Management-USA"/>
    <s v="PT5 - Principal"/>
    <d v="2020-03-16T00:00:00"/>
    <s v="5 - 10 Years"/>
    <s v="0 year(s), 8 month(s), 17 day(s)"/>
    <s v="Strong"/>
    <s v="Leading"/>
    <s v="High"/>
    <s v="Medium"/>
    <n v="6"/>
    <x v="2"/>
    <x v="2"/>
    <s v="expand responsibilities in current role, identify key experiences and increase executive exposure"/>
    <s v="Differentially Invest - Ensure career discussions are happening regualrly? Do they have an individual depevopment plan? What opportunities exsist to accelerate development and growth? Revist talent often to plan for next steps. "/>
    <m/>
    <m/>
    <s v="Chad Thompson"/>
    <s v="Chad Thompson"/>
    <s v="Chad Thompson"/>
    <m/>
  </r>
  <r>
    <n v="102693"/>
    <x v="111"/>
    <s v="Sr. Mgr, UX/UI Design"/>
    <s v="Sr. Mgr, UX/UI Design"/>
    <s v="Sr. Mgr, UI/UX Design-AUS"/>
    <s v="MT3 - Sr. Manager"/>
    <d v="2021-10-07T00:00:00"/>
    <s v="5 - 10 Years"/>
    <s v="4 year(s), 1 month(s), 12 day(s)"/>
    <s v="Strong"/>
    <s v="Strong"/>
    <s v="High"/>
    <s v="High"/>
    <n v="9"/>
    <x v="0"/>
    <x v="0"/>
    <s v="identify stretch experiences or temporary assignments, increase executive exposure "/>
    <s v="Differentially Invest - Ensure career discussions are happening regualrly? Do they have an individual depevopment plan? What opportunities exsist to accelerate development and growth? Revist talent often to plan for next steps. "/>
    <m/>
    <m/>
    <s v="Elizabeth Benker"/>
    <s v="Elizabeth Benker"/>
    <m/>
    <m/>
  </r>
  <r>
    <n v="103656"/>
    <x v="112"/>
    <s v="Product Manager"/>
    <s v="Professional, Product Management-CZE"/>
    <s v="Professional, Product Management-CZE"/>
    <s v="PT2 - Professional"/>
    <d v="2022-05-02T00:00:00"/>
    <s v="3 - 5 Years"/>
    <s v="3 year(s), 6 month(s), 17 day(s)"/>
    <s v="Solid"/>
    <s v="Solid"/>
    <m/>
    <m/>
    <s v=""/>
    <x v="6"/>
    <x v="6"/>
    <s v="identify performance barriers, explore portential to expand responsibilties in current role and discuss career aspirations (ideally for talent new in role)"/>
    <s v="Develop in Role - Identify developmental activities to continue to grow their skill and set them up for success for anticiapted progression "/>
    <m/>
    <m/>
    <s v="Rachel Howard"/>
    <s v="Laura Williams Argilla"/>
    <s v="Rachel Howard"/>
    <m/>
  </r>
  <r>
    <n v="104315"/>
    <x v="113"/>
    <s v="Sr. Product Designer"/>
    <s v="Sr. Professional, UI/UX Designer-USA"/>
    <s v="Sr. Professional, UI/UX Designer-USA"/>
    <s v="PT3 - Sr. Professional"/>
    <d v="2022-08-15T00:00:00"/>
    <s v="3 - 5 Years"/>
    <s v="0 year(s), 2 month(s), 19 day(s)"/>
    <s v="Strong"/>
    <s v="Strong"/>
    <s v="High"/>
    <s v="Medium"/>
    <n v="6"/>
    <x v="2"/>
    <x v="2"/>
    <s v="expand responsibilities in current role, identify key experiences and increase executive exposure"/>
    <s v="Differentially Invest - Ensure career discussions are happening regualrly? Do they have an individual depevopment plan? What opportunities exsist to accelerate development and growth? Revist talent often to plan for next steps. "/>
    <m/>
    <m/>
    <s v="Yujia Zhao"/>
    <s v="Elizabeth Benker"/>
    <s v="Yujia Zhao"/>
    <m/>
  </r>
  <r>
    <n v="103412"/>
    <x v="114"/>
    <s v="Mgr, UI/UX Design"/>
    <s v="Mgr, UI/UX Design-USA"/>
    <s v="Mgr, UI/UX Design-USA"/>
    <s v="MT2 - Manager"/>
    <d v="2022-02-07T00:00:00"/>
    <s v="3 - 5 Years"/>
    <s v="0 year(s), 2 month(s), 18 day(s)"/>
    <s v="Strong"/>
    <s v="Strong"/>
    <s v="High"/>
    <s v="High"/>
    <n v="9"/>
    <x v="0"/>
    <x v="0"/>
    <s v="identify stretch experiences or temporary assignments, increase executive exposure "/>
    <s v="Differentially Invest - Ensure career discussions are happening regualrly? Do they have an individual depevopment plan? What opportunities exsist to accelerate development and growth? Revist talent often to plan for next steps. "/>
    <m/>
    <m/>
    <s v="Elizabeth Benker"/>
    <s v="Elizabeth Benker"/>
    <m/>
    <m/>
  </r>
  <r>
    <m/>
    <x v="115"/>
    <m/>
    <m/>
    <m/>
    <m/>
    <m/>
    <m/>
    <m/>
    <m/>
    <m/>
    <m/>
    <m/>
    <m/>
    <x v="8"/>
    <x v="8"/>
    <m/>
    <m/>
    <m/>
    <m/>
    <m/>
    <m/>
    <m/>
    <m/>
  </r>
  <r>
    <m/>
    <x v="115"/>
    <m/>
    <m/>
    <m/>
    <m/>
    <m/>
    <m/>
    <m/>
    <m/>
    <m/>
    <m/>
    <m/>
    <m/>
    <x v="8"/>
    <x v="8"/>
    <m/>
    <m/>
    <m/>
    <m/>
    <m/>
    <m/>
    <m/>
    <m/>
  </r>
  <r>
    <m/>
    <x v="115"/>
    <m/>
    <m/>
    <m/>
    <m/>
    <m/>
    <m/>
    <m/>
    <m/>
    <m/>
    <m/>
    <m/>
    <m/>
    <x v="8"/>
    <x v="8"/>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18F79E6-8F0A-419E-94A0-E8A21AFCDB72}" name="PivotTable6" cacheId="162"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E3:G130" firstHeaderRow="2" firstDataRow="2" firstDataCol="2"/>
  <pivotFields count="24">
    <pivotField compact="0" outline="0" showAll="0"/>
    <pivotField axis="axisRow" dataField="1" compact="0" outline="0" showAll="0">
      <items count="11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1">
        <item x="6"/>
        <item x="1"/>
        <item x="4"/>
        <item x="2"/>
        <item m="1" x="9"/>
        <item x="5"/>
        <item x="0"/>
        <item x="7"/>
        <item x="8"/>
        <item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2">
    <field x="15"/>
    <field x="1"/>
  </rowFields>
  <rowItems count="126">
    <i>
      <x/>
      <x v="9"/>
    </i>
    <i r="1">
      <x v="10"/>
    </i>
    <i r="1">
      <x v="11"/>
    </i>
    <i r="1">
      <x v="12"/>
    </i>
    <i r="1">
      <x v="13"/>
    </i>
    <i r="1">
      <x v="15"/>
    </i>
    <i r="1">
      <x v="20"/>
    </i>
    <i r="1">
      <x v="24"/>
    </i>
    <i r="1">
      <x v="28"/>
    </i>
    <i r="1">
      <x v="29"/>
    </i>
    <i r="1">
      <x v="32"/>
    </i>
    <i r="1">
      <x v="33"/>
    </i>
    <i r="1">
      <x v="34"/>
    </i>
    <i r="1">
      <x v="35"/>
    </i>
    <i r="1">
      <x v="36"/>
    </i>
    <i r="1">
      <x v="37"/>
    </i>
    <i r="1">
      <x v="38"/>
    </i>
    <i r="1">
      <x v="40"/>
    </i>
    <i r="1">
      <x v="44"/>
    </i>
    <i r="1">
      <x v="46"/>
    </i>
    <i r="1">
      <x v="49"/>
    </i>
    <i r="1">
      <x v="50"/>
    </i>
    <i r="1">
      <x v="52"/>
    </i>
    <i r="1">
      <x v="53"/>
    </i>
    <i r="1">
      <x v="54"/>
    </i>
    <i r="1">
      <x v="56"/>
    </i>
    <i r="1">
      <x v="57"/>
    </i>
    <i r="1">
      <x v="58"/>
    </i>
    <i r="1">
      <x v="59"/>
    </i>
    <i r="1">
      <x v="60"/>
    </i>
    <i r="1">
      <x v="62"/>
    </i>
    <i r="1">
      <x v="63"/>
    </i>
    <i r="1">
      <x v="66"/>
    </i>
    <i r="1">
      <x v="68"/>
    </i>
    <i r="1">
      <x v="69"/>
    </i>
    <i r="1">
      <x v="71"/>
    </i>
    <i r="1">
      <x v="72"/>
    </i>
    <i r="1">
      <x v="73"/>
    </i>
    <i r="1">
      <x v="75"/>
    </i>
    <i r="1">
      <x v="76"/>
    </i>
    <i r="1">
      <x v="79"/>
    </i>
    <i r="1">
      <x v="80"/>
    </i>
    <i r="1">
      <x v="81"/>
    </i>
    <i r="1">
      <x v="83"/>
    </i>
    <i r="1">
      <x v="85"/>
    </i>
    <i r="1">
      <x v="86"/>
    </i>
    <i r="1">
      <x v="87"/>
    </i>
    <i r="1">
      <x v="91"/>
    </i>
    <i r="1">
      <x v="92"/>
    </i>
    <i r="1">
      <x v="93"/>
    </i>
    <i r="1">
      <x v="95"/>
    </i>
    <i r="1">
      <x v="96"/>
    </i>
    <i r="1">
      <x v="97"/>
    </i>
    <i r="1">
      <x v="99"/>
    </i>
    <i r="1">
      <x v="100"/>
    </i>
    <i r="1">
      <x v="103"/>
    </i>
    <i r="1">
      <x v="104"/>
    </i>
    <i r="1">
      <x v="105"/>
    </i>
    <i r="1">
      <x v="106"/>
    </i>
    <i r="1">
      <x v="107"/>
    </i>
    <i r="1">
      <x v="108"/>
    </i>
    <i r="1">
      <x v="112"/>
    </i>
    <i t="default">
      <x/>
    </i>
    <i>
      <x v="1"/>
      <x v="1"/>
    </i>
    <i r="1">
      <x v="8"/>
    </i>
    <i r="1">
      <x v="27"/>
    </i>
    <i t="default">
      <x v="1"/>
    </i>
    <i>
      <x v="2"/>
      <x v="5"/>
    </i>
    <i r="1">
      <x v="26"/>
    </i>
    <i r="1">
      <x v="47"/>
    </i>
    <i r="1">
      <x v="61"/>
    </i>
    <i r="1">
      <x v="77"/>
    </i>
    <i r="1">
      <x v="84"/>
    </i>
    <i r="1">
      <x v="88"/>
    </i>
    <i r="1">
      <x v="90"/>
    </i>
    <i t="default">
      <x v="2"/>
    </i>
    <i>
      <x v="3"/>
      <x v="2"/>
    </i>
    <i r="1">
      <x v="3"/>
    </i>
    <i r="1">
      <x v="25"/>
    </i>
    <i r="1">
      <x v="31"/>
    </i>
    <i r="1">
      <x v="43"/>
    </i>
    <i r="1">
      <x v="45"/>
    </i>
    <i r="1">
      <x v="82"/>
    </i>
    <i r="1">
      <x v="89"/>
    </i>
    <i r="1">
      <x v="110"/>
    </i>
    <i r="1">
      <x v="113"/>
    </i>
    <i t="default">
      <x v="3"/>
    </i>
    <i>
      <x v="5"/>
      <x v="6"/>
    </i>
    <i r="1">
      <x v="7"/>
    </i>
    <i r="1">
      <x v="64"/>
    </i>
    <i r="1">
      <x v="65"/>
    </i>
    <i r="1">
      <x v="70"/>
    </i>
    <i r="1">
      <x v="78"/>
    </i>
    <i r="1">
      <x v="102"/>
    </i>
    <i t="default">
      <x v="5"/>
    </i>
    <i>
      <x v="6"/>
      <x/>
    </i>
    <i r="1">
      <x v="16"/>
    </i>
    <i r="1">
      <x v="17"/>
    </i>
    <i r="1">
      <x v="18"/>
    </i>
    <i r="1">
      <x v="22"/>
    </i>
    <i r="1">
      <x v="23"/>
    </i>
    <i r="1">
      <x v="30"/>
    </i>
    <i r="1">
      <x v="39"/>
    </i>
    <i r="1">
      <x v="42"/>
    </i>
    <i r="1">
      <x v="51"/>
    </i>
    <i r="1">
      <x v="55"/>
    </i>
    <i r="1">
      <x v="94"/>
    </i>
    <i r="1">
      <x v="98"/>
    </i>
    <i r="1">
      <x v="101"/>
    </i>
    <i r="1">
      <x v="111"/>
    </i>
    <i r="1">
      <x v="114"/>
    </i>
    <i t="default">
      <x v="6"/>
    </i>
    <i>
      <x v="7"/>
      <x v="14"/>
    </i>
    <i r="1">
      <x v="21"/>
    </i>
    <i t="default">
      <x v="7"/>
    </i>
    <i>
      <x v="8"/>
      <x v="115"/>
    </i>
    <i t="default">
      <x v="8"/>
    </i>
    <i>
      <x v="9"/>
      <x v="4"/>
    </i>
    <i r="1">
      <x v="19"/>
    </i>
    <i r="1">
      <x v="41"/>
    </i>
    <i r="1">
      <x v="48"/>
    </i>
    <i r="1">
      <x v="67"/>
    </i>
    <i r="1">
      <x v="74"/>
    </i>
    <i r="1">
      <x v="109"/>
    </i>
    <i t="default">
      <x v="9"/>
    </i>
    <i t="grand">
      <x/>
    </i>
  </rowItems>
  <colItems count="1">
    <i/>
  </colItems>
  <dataFields count="1">
    <dataField name="Count of Worker"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6D197EB-3B69-403C-9B5A-17D5C50C6794}" name="PivotTable4" cacheId="1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9- Box Calibration ">
  <location ref="A3:C12" firstHeaderRow="0" firstDataRow="1" firstDataCol="1" rowPageCount="1" colPageCount="1"/>
  <pivotFields count="24">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ascending">
      <items count="18">
        <item x="7"/>
        <item x="5"/>
        <item x="1"/>
        <item x="3"/>
        <item x="6"/>
        <item x="2"/>
        <item x="4"/>
        <item x="0"/>
        <item m="1" x="12"/>
        <item m="1" x="16"/>
        <item m="1" x="14"/>
        <item m="1" x="10"/>
        <item m="1" x="15"/>
        <item m="1" x="13"/>
        <item m="1" x="11"/>
        <item m="1" x="9"/>
        <item h="1" x="8"/>
        <item t="default"/>
      </items>
    </pivotField>
    <pivotField axis="axisPage" showAll="0">
      <items count="11">
        <item x="6"/>
        <item x="1"/>
        <item x="4"/>
        <item x="2"/>
        <item m="1" x="9"/>
        <item x="5"/>
        <item x="0"/>
        <item x="7"/>
        <item x="8"/>
        <item x="3"/>
        <item t="default"/>
      </items>
    </pivotField>
    <pivotField showAll="0"/>
    <pivotField showAll="0"/>
    <pivotField showAll="0"/>
    <pivotField showAll="0"/>
    <pivotField showAll="0"/>
    <pivotField showAll="0"/>
    <pivotField showAll="0"/>
    <pivotField showAll="0"/>
  </pivotFields>
  <rowFields count="1">
    <field x="14"/>
  </rowFields>
  <rowItems count="9">
    <i>
      <x/>
    </i>
    <i>
      <x v="1"/>
    </i>
    <i>
      <x v="2"/>
    </i>
    <i>
      <x v="3"/>
    </i>
    <i>
      <x v="4"/>
    </i>
    <i>
      <x v="5"/>
    </i>
    <i>
      <x v="6"/>
    </i>
    <i>
      <x v="7"/>
    </i>
    <i t="grand">
      <x/>
    </i>
  </rowItems>
  <colFields count="1">
    <field x="-2"/>
  </colFields>
  <colItems count="2">
    <i>
      <x/>
    </i>
    <i i="1">
      <x v="1"/>
    </i>
  </colItems>
  <pageFields count="1">
    <pageField fld="15" hier="-1"/>
  </pageFields>
  <dataFields count="2">
    <dataField name="Count of Worker" fld="1" subtotal="count" baseField="0" baseItem="0"/>
    <dataField name="Percent" fld="1" subtotal="count" showDataAs="percentOfCo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10D50-010C-7F4D-A09B-DAB58D81911C}">
  <dimension ref="A1:V20"/>
  <sheetViews>
    <sheetView showGridLines="0" zoomScaleNormal="100" workbookViewId="0">
      <selection activeCell="B7" sqref="B7"/>
    </sheetView>
  </sheetViews>
  <sheetFormatPr defaultColWidth="10.875" defaultRowHeight="15.95"/>
  <cols>
    <col min="1" max="1" width="27.375" style="9" customWidth="1"/>
    <col min="2" max="2" width="25.875" style="9" bestFit="1" customWidth="1"/>
    <col min="3" max="3" width="32" style="9" bestFit="1" customWidth="1"/>
    <col min="4" max="4" width="41.125" style="9" customWidth="1"/>
    <col min="5" max="16384" width="10.875" style="9"/>
  </cols>
  <sheetData>
    <row r="1" spans="1:22" ht="23.1">
      <c r="A1" s="12" t="s">
        <v>0</v>
      </c>
    </row>
    <row r="2" spans="1:22" s="13" customFormat="1" ht="18.95">
      <c r="A2" s="34" t="s">
        <v>1</v>
      </c>
      <c r="B2" s="35"/>
      <c r="C2" s="35"/>
      <c r="D2" s="35"/>
      <c r="E2" s="35"/>
      <c r="F2" s="35"/>
      <c r="G2" s="35"/>
      <c r="H2" s="35"/>
      <c r="I2" s="35"/>
      <c r="J2" s="35"/>
      <c r="K2" s="35"/>
      <c r="L2" s="35"/>
      <c r="M2" s="35"/>
      <c r="N2" s="35"/>
      <c r="O2" s="35"/>
      <c r="P2" s="35"/>
      <c r="Q2" s="35"/>
      <c r="R2" s="35"/>
      <c r="S2" s="35"/>
      <c r="T2" s="35"/>
      <c r="U2" s="35"/>
      <c r="V2" s="35"/>
    </row>
    <row r="3" spans="1:22" s="13" customFormat="1" ht="18.95">
      <c r="A3" s="36" t="s">
        <v>2</v>
      </c>
      <c r="B3" s="35"/>
      <c r="C3" s="35"/>
      <c r="D3" s="35"/>
      <c r="E3" s="35"/>
      <c r="F3" s="35"/>
      <c r="G3" s="35"/>
      <c r="H3" s="35"/>
      <c r="I3" s="35"/>
      <c r="J3" s="35"/>
      <c r="K3" s="35"/>
      <c r="L3" s="35"/>
      <c r="M3" s="35"/>
      <c r="N3" s="35"/>
      <c r="O3" s="35"/>
      <c r="P3" s="35"/>
      <c r="Q3" s="35"/>
      <c r="R3" s="35"/>
      <c r="S3" s="35"/>
      <c r="T3" s="35"/>
      <c r="U3" s="35"/>
      <c r="V3" s="35"/>
    </row>
    <row r="4" spans="1:22" s="13" customFormat="1" ht="18.95">
      <c r="A4" s="36" t="s">
        <v>3</v>
      </c>
      <c r="B4" s="35"/>
      <c r="C4" s="35"/>
      <c r="D4" s="35"/>
      <c r="E4" s="35"/>
      <c r="F4" s="35"/>
      <c r="G4" s="35"/>
      <c r="H4" s="35"/>
      <c r="I4" s="35"/>
      <c r="J4" s="35"/>
      <c r="K4" s="35"/>
      <c r="L4" s="35"/>
      <c r="M4" s="35"/>
      <c r="N4" s="35"/>
      <c r="O4" s="35"/>
      <c r="P4" s="35"/>
      <c r="Q4" s="35"/>
      <c r="R4" s="35"/>
      <c r="S4" s="35"/>
      <c r="T4" s="35"/>
      <c r="U4" s="35"/>
      <c r="V4" s="35"/>
    </row>
    <row r="7" spans="1:22" ht="21.95">
      <c r="A7" s="10" t="s">
        <v>4</v>
      </c>
    </row>
    <row r="8" spans="1:22" ht="21.95">
      <c r="A8" s="10" t="s">
        <v>5</v>
      </c>
    </row>
    <row r="9" spans="1:22">
      <c r="A9" s="10"/>
    </row>
    <row r="11" spans="1:22" ht="30">
      <c r="A11" s="14" t="s">
        <v>6</v>
      </c>
      <c r="B11" s="14" t="s">
        <v>7</v>
      </c>
      <c r="C11" s="14" t="s">
        <v>8</v>
      </c>
      <c r="D11" s="14" t="s">
        <v>9</v>
      </c>
    </row>
    <row r="12" spans="1:22" ht="53.1" customHeight="1">
      <c r="A12" s="15" t="s">
        <v>10</v>
      </c>
      <c r="B12" s="15" t="s">
        <v>11</v>
      </c>
      <c r="C12" s="15" t="s">
        <v>12</v>
      </c>
      <c r="D12" s="18" t="s">
        <v>13</v>
      </c>
    </row>
    <row r="13" spans="1:22" ht="51">
      <c r="A13" s="15" t="s">
        <v>14</v>
      </c>
      <c r="B13" s="15" t="s">
        <v>15</v>
      </c>
      <c r="C13" s="15" t="s">
        <v>16</v>
      </c>
      <c r="D13" s="20" t="s">
        <v>17</v>
      </c>
    </row>
    <row r="14" spans="1:22" ht="51">
      <c r="A14" s="15" t="s">
        <v>18</v>
      </c>
      <c r="B14" s="15" t="s">
        <v>19</v>
      </c>
      <c r="C14" s="15" t="s">
        <v>20</v>
      </c>
      <c r="D14" s="20" t="s">
        <v>17</v>
      </c>
    </row>
    <row r="15" spans="1:22" ht="68.099999999999994">
      <c r="A15" s="17" t="s">
        <v>21</v>
      </c>
      <c r="B15" s="15" t="s">
        <v>22</v>
      </c>
      <c r="C15" s="15" t="s">
        <v>23</v>
      </c>
      <c r="D15" s="16" t="s">
        <v>24</v>
      </c>
    </row>
    <row r="16" spans="1:22" ht="84.95">
      <c r="A16" s="15" t="s">
        <v>25</v>
      </c>
      <c r="B16" s="15" t="s">
        <v>26</v>
      </c>
      <c r="C16" s="15" t="s">
        <v>27</v>
      </c>
      <c r="D16" s="20" t="s">
        <v>17</v>
      </c>
    </row>
    <row r="17" spans="1:4" ht="84.95">
      <c r="A17" s="15" t="s">
        <v>28</v>
      </c>
      <c r="B17" s="15" t="s">
        <v>29</v>
      </c>
      <c r="C17" s="15" t="s">
        <v>30</v>
      </c>
      <c r="D17" s="21" t="s">
        <v>31</v>
      </c>
    </row>
    <row r="18" spans="1:4" ht="51">
      <c r="A18" s="15" t="s">
        <v>32</v>
      </c>
      <c r="B18" s="15" t="s">
        <v>33</v>
      </c>
      <c r="C18" s="15" t="s">
        <v>34</v>
      </c>
      <c r="D18" s="16" t="s">
        <v>35</v>
      </c>
    </row>
    <row r="19" spans="1:4" ht="84.95">
      <c r="A19" s="15" t="s">
        <v>36</v>
      </c>
      <c r="B19" s="15" t="s">
        <v>37</v>
      </c>
      <c r="C19" s="15" t="s">
        <v>38</v>
      </c>
      <c r="D19" s="19" t="s">
        <v>31</v>
      </c>
    </row>
    <row r="20" spans="1:4" ht="84.95">
      <c r="A20" s="15" t="s">
        <v>39</v>
      </c>
      <c r="B20" s="15" t="s">
        <v>40</v>
      </c>
      <c r="C20" s="15" t="s">
        <v>41</v>
      </c>
      <c r="D20" s="19" t="s">
        <v>31</v>
      </c>
    </row>
  </sheetData>
  <autoFilter ref="A11:D11" xr:uid="{B1D10D50-010C-7F4D-A09B-DAB58D81911C}">
    <sortState xmlns:xlrd2="http://schemas.microsoft.com/office/spreadsheetml/2017/richdata2" ref="A12:D20">
      <sortCondition ref="A11"/>
    </sortState>
  </autoFilter>
  <conditionalFormatting sqref="A11:D11">
    <cfRule type="containsText" dxfId="24" priority="2" operator="containsText" text="Develop in Role">
      <formula>NOT(ISERROR(SEARCH("Develop in Role",A11)))</formula>
    </cfRule>
    <cfRule type="containsText" dxfId="23" priority="3" stopIfTrue="1" operator="containsText" text="Make a Plan">
      <formula>NOT(ISERROR(SEARCH("Make a Plan",A11)))</formula>
    </cfRule>
    <cfRule type="containsText" dxfId="22" priority="4" operator="containsText" text="Evaluate Fit ">
      <formula>NOT(ISERROR(SEARCH("Evaluate Fit ",A11)))</formula>
    </cfRule>
    <cfRule type="containsText" dxfId="21" priority="5" operator="containsText" text="Differentially Invest">
      <formula>NOT(ISERROR(SEARCH("Differentially Invest",A11)))</formula>
    </cfRule>
  </conditionalFormatting>
  <conditionalFormatting sqref="B11">
    <cfRule type="containsText" dxfId="20" priority="1" operator="containsText" text="Evaluate Fit/Make a Plan ">
      <formula>NOT(ISERROR(SEARCH("Evaluate Fit/Make a Plan ",B11)))</formula>
    </cfRule>
  </conditionalFormatting>
  <dataValidations count="1">
    <dataValidation type="list" allowBlank="1" showInputMessage="1" showErrorMessage="1" sqref="A11" xr:uid="{E3EE9136-5054-784D-84D7-E6A512699BB3}">
      <formula1>#REF!</formula1>
    </dataValidation>
  </dataValidations>
  <pageMargins left="0.7" right="0.7" top="0.75" bottom="0.75" header="0.3" footer="0.3"/>
  <pageSetup orientation="portrait" horizontalDpi="0" verticalDpi="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9"/>
  <sheetViews>
    <sheetView zoomScaleNormal="100" workbookViewId="0">
      <pane ySplit="1" topLeftCell="D5" activePane="bottomLeft" state="frozen"/>
      <selection pane="bottomLeft" activeCell="O6" sqref="O6"/>
    </sheetView>
  </sheetViews>
  <sheetFormatPr defaultColWidth="11" defaultRowHeight="15.75" customHeight="1"/>
  <cols>
    <col min="2" max="2" width="16.5" customWidth="1"/>
    <col min="3" max="3" width="13.875" customWidth="1"/>
    <col min="4" max="6" width="11" customWidth="1"/>
    <col min="7" max="7" width="10" customWidth="1"/>
    <col min="13" max="13" width="12.375" customWidth="1"/>
    <col min="14" max="14" width="11.625" customWidth="1"/>
    <col min="15" max="15" width="16" bestFit="1" customWidth="1"/>
    <col min="16" max="16" width="25.125" customWidth="1"/>
    <col min="17" max="17" width="34.125" customWidth="1"/>
    <col min="18" max="18" width="50.375" style="8" customWidth="1"/>
    <col min="19" max="20" width="34.625" style="42" customWidth="1"/>
    <col min="21" max="21" width="17.875" customWidth="1"/>
    <col min="22" max="24" width="16" bestFit="1" customWidth="1"/>
  </cols>
  <sheetData>
    <row r="1" spans="1:24" ht="66" customHeight="1">
      <c r="A1" s="1" t="s">
        <v>42</v>
      </c>
      <c r="B1" s="1" t="s">
        <v>43</v>
      </c>
      <c r="C1" s="1" t="s">
        <v>44</v>
      </c>
      <c r="D1" s="1" t="s">
        <v>45</v>
      </c>
      <c r="E1" s="1" t="s">
        <v>46</v>
      </c>
      <c r="F1" s="1" t="s">
        <v>47</v>
      </c>
      <c r="G1" s="1" t="s">
        <v>48</v>
      </c>
      <c r="H1" s="1" t="s">
        <v>49</v>
      </c>
      <c r="I1" s="1" t="s">
        <v>50</v>
      </c>
      <c r="J1" s="1" t="s">
        <v>51</v>
      </c>
      <c r="K1" s="1" t="s">
        <v>52</v>
      </c>
      <c r="L1" s="24" t="s">
        <v>53</v>
      </c>
      <c r="M1" s="25" t="s">
        <v>54</v>
      </c>
      <c r="N1" s="24" t="s">
        <v>55</v>
      </c>
      <c r="O1" s="32" t="s">
        <v>6</v>
      </c>
      <c r="P1" s="11" t="s">
        <v>7</v>
      </c>
      <c r="Q1" s="11" t="s">
        <v>8</v>
      </c>
      <c r="R1" s="11" t="s">
        <v>9</v>
      </c>
      <c r="S1" s="43" t="s">
        <v>56</v>
      </c>
      <c r="T1" s="43" t="s">
        <v>57</v>
      </c>
      <c r="U1" s="49" t="s">
        <v>58</v>
      </c>
      <c r="V1" s="49" t="s">
        <v>59</v>
      </c>
      <c r="W1" s="49" t="s">
        <v>60</v>
      </c>
      <c r="X1" s="49" t="s">
        <v>61</v>
      </c>
    </row>
    <row r="2" spans="1:24" ht="56.1" customHeight="1">
      <c r="A2" s="22">
        <v>102671</v>
      </c>
      <c r="B2" s="22" t="s">
        <v>62</v>
      </c>
      <c r="C2" s="22" t="s">
        <v>63</v>
      </c>
      <c r="D2" s="22" t="s">
        <v>64</v>
      </c>
      <c r="E2" s="22" t="s">
        <v>64</v>
      </c>
      <c r="F2" s="22" t="s">
        <v>65</v>
      </c>
      <c r="G2" s="23">
        <v>44494</v>
      </c>
      <c r="H2" s="22" t="s">
        <v>66</v>
      </c>
      <c r="I2" s="22" t="s">
        <v>67</v>
      </c>
      <c r="J2" s="22" t="s">
        <v>68</v>
      </c>
      <c r="K2" s="22" t="s">
        <v>68</v>
      </c>
      <c r="L2" s="22" t="s">
        <v>69</v>
      </c>
      <c r="M2" s="22" t="s">
        <v>70</v>
      </c>
      <c r="N2" s="28" cm="1">
        <f t="array" ref="N2">IF(OR(L2="",M2=""),"", IF(OR(ISNA(MATCH(L2,{"Low","Medium","High"},0)), ISNA(MATCH(M2,{"Low","Medium","High"},0))),"",_xlfn.SWITCH(L2,"Low",1,"Medium",2,"High",3) + 3 * _xlfn.SWITCH(M2,"Low",1,"Medium",2,"High",3) - 3))</f>
        <v>4</v>
      </c>
      <c r="O2" s="33" t="s">
        <v>21</v>
      </c>
      <c r="P2" s="22" t="str">
        <f>IFERROR(VLOOKUP(O2,'Excel Table (Do Not Format)'!A:D,2,FALSE),"")</f>
        <v>Inconsistent Talent [L,M]</v>
      </c>
      <c r="Q2" s="22" t="str">
        <f>IFERROR(VLOOKUP(O2,'Excel Table (Do Not Format)'!A:D,3,FALSE),"")</f>
        <v xml:space="preserve">re-establish performance expectations in current role, drive performance and re-evaluate in 6-12 months </v>
      </c>
      <c r="R2" s="22" t="str">
        <f>IFERROR(VLOOKUP(O2,'Excel Table (Do Not Format)'!A:D,4,FALSE),"")</f>
        <v>Evaluate Fit/Make A Plan - Identify a coaching plan to improve performance</v>
      </c>
      <c r="S2" s="41" t="s">
        <v>71</v>
      </c>
      <c r="T2" s="44" t="s">
        <v>72</v>
      </c>
      <c r="U2" s="2" t="s">
        <v>73</v>
      </c>
      <c r="V2" s="2" t="s">
        <v>74</v>
      </c>
      <c r="W2" s="2" t="s">
        <v>73</v>
      </c>
      <c r="X2" s="2"/>
    </row>
    <row r="3" spans="1:24" ht="56.1" customHeight="1">
      <c r="A3" s="22">
        <v>102674</v>
      </c>
      <c r="B3" s="22" t="s">
        <v>75</v>
      </c>
      <c r="C3" s="22" t="s">
        <v>76</v>
      </c>
      <c r="D3" s="22" t="s">
        <v>76</v>
      </c>
      <c r="E3" s="22" t="s">
        <v>76</v>
      </c>
      <c r="F3" s="22" t="s">
        <v>77</v>
      </c>
      <c r="G3" s="23">
        <v>44481</v>
      </c>
      <c r="H3" s="22" t="s">
        <v>66</v>
      </c>
      <c r="I3" s="22" t="s">
        <v>78</v>
      </c>
      <c r="J3" s="22" t="s">
        <v>68</v>
      </c>
      <c r="K3" s="22" t="s">
        <v>68</v>
      </c>
      <c r="L3" s="22" t="s">
        <v>70</v>
      </c>
      <c r="M3" s="22" t="s">
        <v>70</v>
      </c>
      <c r="N3" s="28" cm="1">
        <f t="array" ref="N3">IF(OR(L3="",M3=""),"", IF(OR(ISNA(MATCH(L3,{"Low","Medium","High"},0)), ISNA(MATCH(M3,{"Low","Medium","High"},0))),"",_xlfn.SWITCH(L3,"Low",1,"Medium",2,"High",3) + 3 * _xlfn.SWITCH(M3,"Low",1,"Medium",2,"High",3) - 3))</f>
        <v>5</v>
      </c>
      <c r="O3" s="33" t="s">
        <v>28</v>
      </c>
      <c r="P3" s="22" t="str">
        <f>IFERROR(VLOOKUP(O3,'Excel Table (Do Not Format)'!A:D,2,FALSE),"")</f>
        <v>High Impact Talent [H,M]</v>
      </c>
      <c r="Q3" s="22" t="str">
        <f>IFERROR(VLOOKUP(O3,'Excel Table (Do Not Format)'!A:D,3,FALSE),"")</f>
        <v>expand responsibilities in current role, identify key experiences and increase executive exposure</v>
      </c>
      <c r="R3" s="22" t="str">
        <f>IFERROR(VLOOKUP(O3,'Excel Table (Do Not Format)'!A:D,4,FALSE),"")</f>
        <v xml:space="preserve">Differentially Invest - Ensure career discussions are happening regularly? Do they have an individual development plan? What opportunities exist to accelerate development and growth? Revisit talent often to plan for next steps. </v>
      </c>
      <c r="S3" s="41" t="s">
        <v>79</v>
      </c>
      <c r="T3" s="44" t="s">
        <v>80</v>
      </c>
      <c r="U3" s="2" t="s">
        <v>74</v>
      </c>
      <c r="V3" s="2" t="s">
        <v>74</v>
      </c>
      <c r="W3" s="2"/>
      <c r="X3" s="2"/>
    </row>
    <row r="4" spans="1:24" ht="60">
      <c r="A4" s="29">
        <v>106408</v>
      </c>
      <c r="B4" s="22" t="s">
        <v>73</v>
      </c>
      <c r="C4" s="30" t="s">
        <v>81</v>
      </c>
      <c r="D4" s="30" t="s">
        <v>82</v>
      </c>
      <c r="E4" s="30" t="s">
        <v>82</v>
      </c>
      <c r="F4" s="30" t="s">
        <v>83</v>
      </c>
      <c r="G4" s="31">
        <v>45971</v>
      </c>
      <c r="H4" s="30" t="s">
        <v>84</v>
      </c>
      <c r="I4" s="30" t="s">
        <v>85</v>
      </c>
      <c r="J4" s="22"/>
      <c r="K4" s="22"/>
      <c r="L4" s="22"/>
      <c r="M4" s="22"/>
      <c r="N4" s="22"/>
      <c r="O4" s="33" t="s">
        <v>25</v>
      </c>
      <c r="P4" s="22" t="str">
        <f>IFERROR(VLOOKUP(O4,'Excel Table (Do Not Format)'!A:D,2,FALSE),"")</f>
        <v>Core Talent [M,M]</v>
      </c>
      <c r="Q4" s="22" t="str">
        <f>IFERROR(VLOOKUP(O4,'Excel Table (Do Not Format)'!A:D,3,FALSE),"")</f>
        <v>identify performance barriers, explore portential to expand responsibilties in current role and discuss career aspirations (ideally for talent new in role)</v>
      </c>
      <c r="R4" s="22" t="str">
        <f>IFERROR(VLOOKUP(O4,'Excel Table (Do Not Format)'!A:D,4,FALSE),"")</f>
        <v xml:space="preserve">Develop in Role - Identify developmental activities to continue to grow their skill and set them up for success for anticiapted progression </v>
      </c>
      <c r="S4" s="46" t="s">
        <v>86</v>
      </c>
      <c r="T4" s="44" t="s">
        <v>72</v>
      </c>
      <c r="U4" s="2" t="s">
        <v>74</v>
      </c>
      <c r="V4" s="2" t="s">
        <v>74</v>
      </c>
      <c r="W4" s="2"/>
      <c r="X4" s="2"/>
    </row>
    <row r="5" spans="1:24" ht="56.1">
      <c r="A5" s="29">
        <v>106368</v>
      </c>
      <c r="B5" s="22" t="s">
        <v>87</v>
      </c>
      <c r="C5" s="30" t="s">
        <v>88</v>
      </c>
      <c r="D5" s="30" t="s">
        <v>89</v>
      </c>
      <c r="E5" s="30" t="s">
        <v>89</v>
      </c>
      <c r="F5" s="30" t="s">
        <v>90</v>
      </c>
      <c r="G5" s="31">
        <v>45964</v>
      </c>
      <c r="H5" s="30" t="s">
        <v>84</v>
      </c>
      <c r="I5" s="30" t="s">
        <v>91</v>
      </c>
      <c r="J5" s="22"/>
      <c r="K5" s="22"/>
      <c r="L5" s="22"/>
      <c r="M5" s="22"/>
      <c r="N5" s="22"/>
      <c r="O5" s="33" t="s">
        <v>25</v>
      </c>
      <c r="P5" s="22" t="str">
        <f>IFERROR(VLOOKUP(O5,'Excel Table (Do Not Format)'!A:D,2,FALSE),"")</f>
        <v>Core Talent [M,M]</v>
      </c>
      <c r="Q5" s="22" t="str">
        <f>IFERROR(VLOOKUP(O5,'Excel Table (Do Not Format)'!A:D,3,FALSE),"")</f>
        <v>identify performance barriers, explore portential to expand responsibilties in current role and discuss career aspirations (ideally for talent new in role)</v>
      </c>
      <c r="R5" s="22" t="str">
        <f>IFERROR(VLOOKUP(O5,'Excel Table (Do Not Format)'!A:D,4,FALSE),"")</f>
        <v xml:space="preserve">Develop in Role - Identify developmental activities to continue to grow their skill and set them up for success for anticiapted progression </v>
      </c>
      <c r="S5" s="46"/>
      <c r="T5" s="44"/>
      <c r="U5" s="2" t="s">
        <v>92</v>
      </c>
      <c r="V5" s="2" t="s">
        <v>92</v>
      </c>
      <c r="W5" s="2"/>
      <c r="X5" s="2"/>
    </row>
    <row r="6" spans="1:24" ht="75">
      <c r="A6" s="29">
        <v>103216</v>
      </c>
      <c r="B6" s="22" t="s">
        <v>93</v>
      </c>
      <c r="C6" s="30" t="s">
        <v>94</v>
      </c>
      <c r="D6" s="30" t="s">
        <v>94</v>
      </c>
      <c r="E6" s="30" t="s">
        <v>94</v>
      </c>
      <c r="F6" s="30" t="s">
        <v>95</v>
      </c>
      <c r="G6" s="31">
        <v>44599</v>
      </c>
      <c r="H6" s="30" t="s">
        <v>66</v>
      </c>
      <c r="I6" s="30" t="s">
        <v>96</v>
      </c>
      <c r="J6" s="22" t="s">
        <v>68</v>
      </c>
      <c r="K6" s="22" t="s">
        <v>68</v>
      </c>
      <c r="L6" s="22" t="s">
        <v>69</v>
      </c>
      <c r="M6" s="22" t="s">
        <v>70</v>
      </c>
      <c r="N6" s="28" cm="1">
        <f t="array" ref="N6">IF(OR(L6="",M6=""),"", IF(OR(ISNA(MATCH(L6,{"Low","Medium","High"},0)), ISNA(MATCH(M6,{"Low","Medium","High"},0))),"",_xlfn.SWITCH(L6,"Low",1,"Medium",2,"High",3) + 3 * _xlfn.SWITCH(M6,"Low",1,"Medium",2,"High",3) - 3))</f>
        <v>4</v>
      </c>
      <c r="O6" s="33" t="s">
        <v>25</v>
      </c>
      <c r="P6" s="22" t="str">
        <f>IFERROR(VLOOKUP(O6,'Excel Table (Do Not Format)'!A:D,2,FALSE),"")</f>
        <v>Core Talent [M,M]</v>
      </c>
      <c r="Q6" s="22" t="str">
        <f>IFERROR(VLOOKUP(O6,'Excel Table (Do Not Format)'!A:D,3,FALSE),"")</f>
        <v>identify performance barriers, explore portential to expand responsibilties in current role and discuss career aspirations (ideally for talent new in role)</v>
      </c>
      <c r="R6" s="22" t="str">
        <f>IFERROR(VLOOKUP(O6,'Excel Table (Do Not Format)'!A:D,4,FALSE),"")</f>
        <v xml:space="preserve">Develop in Role - Identify developmental activities to continue to grow their skill and set them up for success for anticiapted progression </v>
      </c>
      <c r="S6" s="46" t="s">
        <v>97</v>
      </c>
      <c r="T6" s="44" t="s">
        <v>72</v>
      </c>
      <c r="U6" s="2" t="s">
        <v>73</v>
      </c>
      <c r="V6" s="2" t="s">
        <v>74</v>
      </c>
      <c r="W6" s="2" t="s">
        <v>73</v>
      </c>
      <c r="X6" s="2"/>
    </row>
    <row r="7" spans="1:24" ht="56.1">
      <c r="A7" s="29">
        <v>102818</v>
      </c>
      <c r="B7" s="22" t="s">
        <v>98</v>
      </c>
      <c r="C7" s="30" t="s">
        <v>88</v>
      </c>
      <c r="D7" s="30" t="s">
        <v>99</v>
      </c>
      <c r="E7" s="30" t="s">
        <v>99</v>
      </c>
      <c r="F7" s="30" t="s">
        <v>90</v>
      </c>
      <c r="G7" s="31">
        <v>44508</v>
      </c>
      <c r="H7" s="30" t="s">
        <v>66</v>
      </c>
      <c r="I7" s="30" t="s">
        <v>100</v>
      </c>
      <c r="J7" s="22" t="s">
        <v>68</v>
      </c>
      <c r="K7" s="22" t="s">
        <v>68</v>
      </c>
      <c r="L7" s="22" t="s">
        <v>101</v>
      </c>
      <c r="M7" s="22" t="s">
        <v>70</v>
      </c>
      <c r="N7" s="28" cm="1">
        <f t="array" ref="N7">IF(OR(L7="",M7=""),"", IF(OR(ISNA(MATCH(L7,{"Low","Medium","High"},0)), ISNA(MATCH(M7,{"Low","Medium","High"},0))),"",_xlfn.SWITCH(L7,"Low",1,"Medium",2,"High",3) + 3 * _xlfn.SWITCH(M7,"Low",1,"Medium",2,"High",3) - 3))</f>
        <v>6</v>
      </c>
      <c r="O7" s="33" t="s">
        <v>28</v>
      </c>
      <c r="P7" s="22" t="str">
        <f>IFERROR(VLOOKUP(O7,'Excel Table (Do Not Format)'!A:D,2,FALSE),"")</f>
        <v>High Impact Talent [H,M]</v>
      </c>
      <c r="Q7" s="22" t="str">
        <f>IFERROR(VLOOKUP(O7,'Excel Table (Do Not Format)'!A:D,3,FALSE),"")</f>
        <v>expand responsibilities in current role, identify key experiences and increase executive exposure</v>
      </c>
      <c r="R7" s="22" t="str">
        <f>IFERROR(VLOOKUP(O7,'Excel Table (Do Not Format)'!A:D,4,FALSE),"")</f>
        <v xml:space="preserve">Differentially Invest - Ensure career discussions are happening regularly? Do they have an individual development plan? What opportunities exist to accelerate development and growth? Revisit talent often to plan for next steps. </v>
      </c>
      <c r="S7" s="46"/>
      <c r="T7" s="44"/>
      <c r="U7" s="2" t="s">
        <v>102</v>
      </c>
      <c r="V7" s="2" t="s">
        <v>102</v>
      </c>
      <c r="W7" s="2"/>
      <c r="X7" s="2"/>
    </row>
    <row r="8" spans="1:24" ht="75">
      <c r="A8" s="29">
        <v>102384</v>
      </c>
      <c r="B8" s="22" t="s">
        <v>103</v>
      </c>
      <c r="C8" s="30" t="s">
        <v>104</v>
      </c>
      <c r="D8" s="30" t="s">
        <v>104</v>
      </c>
      <c r="E8" s="30" t="s">
        <v>104</v>
      </c>
      <c r="F8" s="30" t="s">
        <v>65</v>
      </c>
      <c r="G8" s="31">
        <v>44424</v>
      </c>
      <c r="H8" s="30" t="s">
        <v>66</v>
      </c>
      <c r="I8" s="30" t="s">
        <v>105</v>
      </c>
      <c r="J8" s="22" t="s">
        <v>68</v>
      </c>
      <c r="K8" s="22" t="s">
        <v>106</v>
      </c>
      <c r="L8" s="22" t="s">
        <v>70</v>
      </c>
      <c r="M8" s="22" t="s">
        <v>70</v>
      </c>
      <c r="N8" s="28" cm="1">
        <f t="array" ref="N8">IF(OR(L8="",M8=""),"", IF(OR(ISNA(MATCH(L8,{"Low","Medium","High"},0)), ISNA(MATCH(M8,{"Low","Medium","High"},0))),"",_xlfn.SWITCH(L8,"Low",1,"Medium",2,"High",3) + 3 * _xlfn.SWITCH(M8,"Low",1,"Medium",2,"High",3) - 3))</f>
        <v>5</v>
      </c>
      <c r="O8" s="33" t="s">
        <v>25</v>
      </c>
      <c r="P8" s="22" t="str">
        <f>IFERROR(VLOOKUP(O8,'Excel Table (Do Not Format)'!A:D,2,FALSE),"")</f>
        <v>Core Talent [M,M]</v>
      </c>
      <c r="Q8" s="22" t="str">
        <f>IFERROR(VLOOKUP(O8,'Excel Table (Do Not Format)'!A:D,3,FALSE),"")</f>
        <v>identify performance barriers, explore portential to expand responsibilties in current role and discuss career aspirations (ideally for talent new in role)</v>
      </c>
      <c r="R8" s="22" t="str">
        <f>IFERROR(VLOOKUP(O8,'Excel Table (Do Not Format)'!A:D,4,FALSE),"")</f>
        <v xml:space="preserve">Develop in Role - Identify developmental activities to continue to grow their skill and set them up for success for anticiapted progression </v>
      </c>
      <c r="S8" s="46" t="s">
        <v>107</v>
      </c>
      <c r="T8" s="44" t="s">
        <v>72</v>
      </c>
      <c r="U8" s="2" t="s">
        <v>74</v>
      </c>
      <c r="V8" s="2" t="s">
        <v>74</v>
      </c>
      <c r="W8" s="2"/>
      <c r="X8" s="2"/>
    </row>
    <row r="9" spans="1:24" ht="60">
      <c r="A9" s="29">
        <v>1966</v>
      </c>
      <c r="B9" s="22" t="s">
        <v>108</v>
      </c>
      <c r="C9" s="30" t="s">
        <v>109</v>
      </c>
      <c r="D9" s="30" t="s">
        <v>109</v>
      </c>
      <c r="E9" s="30" t="s">
        <v>109</v>
      </c>
      <c r="F9" s="30" t="s">
        <v>83</v>
      </c>
      <c r="G9" s="31">
        <v>43108</v>
      </c>
      <c r="H9" s="30" t="s">
        <v>110</v>
      </c>
      <c r="I9" s="30" t="s">
        <v>111</v>
      </c>
      <c r="J9" s="22" t="s">
        <v>112</v>
      </c>
      <c r="K9" s="22" t="s">
        <v>112</v>
      </c>
      <c r="L9" s="22" t="s">
        <v>70</v>
      </c>
      <c r="M9" s="22" t="s">
        <v>101</v>
      </c>
      <c r="N9" s="28" cm="1">
        <f t="array" ref="N9">IF(OR(L9="",M9=""),"", IF(OR(ISNA(MATCH(L9,{"Low","Medium","High"},0)), ISNA(MATCH(M9,{"Low","Medium","High"},0))),"",_xlfn.SWITCH(L9,"Low",1,"Medium",2,"High",3) + 3 * _xlfn.SWITCH(M9,"Low",1,"Medium",2,"High",3) - 3))</f>
        <v>8</v>
      </c>
      <c r="O9" s="33" t="s">
        <v>25</v>
      </c>
      <c r="P9" s="22" t="str">
        <f>IFERROR(VLOOKUP(O9,'Excel Table (Do Not Format)'!A:D,2,FALSE),"")</f>
        <v>Core Talent [M,M]</v>
      </c>
      <c r="Q9" s="22" t="str">
        <f>IFERROR(VLOOKUP(O9,'Excel Table (Do Not Format)'!A:D,3,FALSE),"")</f>
        <v>identify performance barriers, explore portential to expand responsibilties in current role and discuss career aspirations (ideally for talent new in role)</v>
      </c>
      <c r="R9" s="22" t="str">
        <f>IFERROR(VLOOKUP(O9,'Excel Table (Do Not Format)'!A:D,4,FALSE),"")</f>
        <v xml:space="preserve">Develop in Role - Identify developmental activities to continue to grow their skill and set them up for success for anticiapted progression </v>
      </c>
      <c r="S9" s="46"/>
      <c r="T9" s="44"/>
      <c r="U9" s="2" t="s">
        <v>92</v>
      </c>
      <c r="V9" s="2" t="s">
        <v>92</v>
      </c>
      <c r="W9" s="2"/>
      <c r="X9" s="2"/>
    </row>
    <row r="10" spans="1:24" ht="60">
      <c r="A10" s="29">
        <v>101909</v>
      </c>
      <c r="B10" s="22" t="s">
        <v>113</v>
      </c>
      <c r="C10" s="30" t="s">
        <v>114</v>
      </c>
      <c r="D10" s="30" t="s">
        <v>115</v>
      </c>
      <c r="E10" s="30" t="s">
        <v>115</v>
      </c>
      <c r="F10" s="30" t="s">
        <v>116</v>
      </c>
      <c r="G10" s="31">
        <v>44319</v>
      </c>
      <c r="H10" s="30" t="s">
        <v>66</v>
      </c>
      <c r="I10" s="30" t="s">
        <v>117</v>
      </c>
      <c r="J10" s="22" t="s">
        <v>68</v>
      </c>
      <c r="K10" s="22" t="s">
        <v>68</v>
      </c>
      <c r="L10" s="22" t="s">
        <v>69</v>
      </c>
      <c r="M10" s="22" t="s">
        <v>70</v>
      </c>
      <c r="N10" s="28" cm="1">
        <f t="array" ref="N10">IF(OR(L10="",M10=""),"", IF(OR(ISNA(MATCH(L10,{"Low","Medium","High"},0)), ISNA(MATCH(M10,{"Low","Medium","High"},0))),"",_xlfn.SWITCH(L10,"Low",1,"Medium",2,"High",3) + 3 * _xlfn.SWITCH(M10,"Low",1,"Medium",2,"High",3) - 3))</f>
        <v>4</v>
      </c>
      <c r="O10" s="33" t="s">
        <v>21</v>
      </c>
      <c r="P10" s="22" t="str">
        <f>IFERROR(VLOOKUP(O10,'Excel Table (Do Not Format)'!A:D,2,FALSE),"")</f>
        <v>Inconsistent Talent [L,M]</v>
      </c>
      <c r="Q10" s="22" t="str">
        <f>IFERROR(VLOOKUP(O10,'Excel Table (Do Not Format)'!A:D,3,FALSE),"")</f>
        <v xml:space="preserve">re-establish performance expectations in current role, drive performance and re-evaluate in 6-12 months </v>
      </c>
      <c r="R10" s="22" t="str">
        <f>IFERROR(VLOOKUP(O10,'Excel Table (Do Not Format)'!A:D,4,FALSE),"")</f>
        <v>Evaluate Fit/Make A Plan - Identify a coaching plan to improve performance</v>
      </c>
      <c r="S10" s="46" t="s">
        <v>118</v>
      </c>
      <c r="T10" s="44" t="s">
        <v>72</v>
      </c>
      <c r="U10" s="2" t="s">
        <v>74</v>
      </c>
      <c r="V10" s="2" t="s">
        <v>74</v>
      </c>
      <c r="W10" s="2"/>
      <c r="X10" s="2"/>
    </row>
    <row r="11" spans="1:24" ht="45">
      <c r="A11" s="29">
        <v>103572</v>
      </c>
      <c r="B11" s="22" t="s">
        <v>119</v>
      </c>
      <c r="C11" s="30" t="s">
        <v>120</v>
      </c>
      <c r="D11" s="30" t="s">
        <v>99</v>
      </c>
      <c r="E11" s="30" t="s">
        <v>99</v>
      </c>
      <c r="F11" s="30" t="s">
        <v>90</v>
      </c>
      <c r="G11" s="31">
        <v>44676</v>
      </c>
      <c r="H11" s="30" t="s">
        <v>66</v>
      </c>
      <c r="I11" s="30" t="s">
        <v>121</v>
      </c>
      <c r="J11" s="22" t="s">
        <v>68</v>
      </c>
      <c r="K11" s="22" t="s">
        <v>112</v>
      </c>
      <c r="L11" s="22" t="s">
        <v>70</v>
      </c>
      <c r="M11" s="22" t="s">
        <v>101</v>
      </c>
      <c r="N11" s="28" cm="1">
        <f t="array" ref="N11">IF(OR(L11="",M11=""),"", IF(OR(ISNA(MATCH(L11,{"Low","Medium","High"},0)), ISNA(MATCH(M11,{"Low","Medium","High"},0))),"",_xlfn.SWITCH(L11,"Low",1,"Medium",2,"High",3) + 3 * _xlfn.SWITCH(M11,"Low",1,"Medium",2,"High",3) - 3))</f>
        <v>8</v>
      </c>
      <c r="O11" s="33" t="s">
        <v>25</v>
      </c>
      <c r="P11" s="22" t="str">
        <f>IFERROR(VLOOKUP(O11,'Excel Table (Do Not Format)'!A:D,2,FALSE),"")</f>
        <v>Core Talent [M,M]</v>
      </c>
      <c r="Q11" s="22" t="str">
        <f>IFERROR(VLOOKUP(O11,'Excel Table (Do Not Format)'!A:D,3,FALSE),"")</f>
        <v>identify performance barriers, explore portential to expand responsibilties in current role and discuss career aspirations (ideally for talent new in role)</v>
      </c>
      <c r="R11" s="22" t="str">
        <f>IFERROR(VLOOKUP(O11,'Excel Table (Do Not Format)'!A:D,4,FALSE),"")</f>
        <v xml:space="preserve">Develop in Role - Identify developmental activities to continue to grow their skill and set them up for success for anticiapted progression </v>
      </c>
      <c r="S11" s="46"/>
      <c r="T11" s="44"/>
      <c r="U11" s="2" t="s">
        <v>92</v>
      </c>
      <c r="V11" s="2" t="s">
        <v>92</v>
      </c>
      <c r="W11" s="2"/>
      <c r="X11" s="2"/>
    </row>
    <row r="12" spans="1:24" ht="75">
      <c r="A12" s="29">
        <v>101687</v>
      </c>
      <c r="B12" s="22" t="s">
        <v>122</v>
      </c>
      <c r="C12" s="30" t="s">
        <v>123</v>
      </c>
      <c r="D12" s="30" t="s">
        <v>124</v>
      </c>
      <c r="E12" s="30" t="s">
        <v>124</v>
      </c>
      <c r="F12" s="30" t="s">
        <v>116</v>
      </c>
      <c r="G12" s="31">
        <v>44256</v>
      </c>
      <c r="H12" s="30" t="s">
        <v>66</v>
      </c>
      <c r="I12" s="30" t="s">
        <v>105</v>
      </c>
      <c r="J12" s="22" t="s">
        <v>112</v>
      </c>
      <c r="K12" s="22" t="s">
        <v>68</v>
      </c>
      <c r="L12" s="22" t="s">
        <v>70</v>
      </c>
      <c r="M12" s="22" t="s">
        <v>70</v>
      </c>
      <c r="N12" s="28" cm="1">
        <f t="array" ref="N12">IF(OR(L12="",M12=""),"", IF(OR(ISNA(MATCH(L12,{"Low","Medium","High"},0)), ISNA(MATCH(M12,{"Low","Medium","High"},0))),"",_xlfn.SWITCH(L12,"Low",1,"Medium",2,"High",3) + 3 * _xlfn.SWITCH(M12,"Low",1,"Medium",2,"High",3) - 3))</f>
        <v>5</v>
      </c>
      <c r="O12" s="33" t="s">
        <v>25</v>
      </c>
      <c r="P12" s="22" t="str">
        <f>IFERROR(VLOOKUP(O12,'Excel Table (Do Not Format)'!A:D,2,FALSE),"")</f>
        <v>Core Talent [M,M]</v>
      </c>
      <c r="Q12" s="22" t="str">
        <f>IFERROR(VLOOKUP(O12,'Excel Table (Do Not Format)'!A:D,3,FALSE),"")</f>
        <v>identify performance barriers, explore portential to expand responsibilties in current role and discuss career aspirations (ideally for talent new in role)</v>
      </c>
      <c r="R12" s="22" t="str">
        <f>IFERROR(VLOOKUP(O12,'Excel Table (Do Not Format)'!A:D,4,FALSE),"")</f>
        <v xml:space="preserve">Develop in Role - Identify developmental activities to continue to grow their skill and set them up for success for anticiapted progression </v>
      </c>
      <c r="S12" s="46" t="s">
        <v>125</v>
      </c>
      <c r="T12" s="44" t="s">
        <v>72</v>
      </c>
      <c r="U12" s="2" t="s">
        <v>73</v>
      </c>
      <c r="V12" s="2" t="s">
        <v>74</v>
      </c>
      <c r="W12" s="2" t="s">
        <v>73</v>
      </c>
      <c r="X12" s="2"/>
    </row>
    <row r="13" spans="1:24" ht="56.1">
      <c r="A13" s="29">
        <v>101023</v>
      </c>
      <c r="B13" s="22" t="s">
        <v>126</v>
      </c>
      <c r="C13" s="30" t="s">
        <v>127</v>
      </c>
      <c r="D13" s="30" t="s">
        <v>127</v>
      </c>
      <c r="E13" s="30" t="s">
        <v>127</v>
      </c>
      <c r="F13" s="30" t="s">
        <v>65</v>
      </c>
      <c r="G13" s="31">
        <v>43843</v>
      </c>
      <c r="H13" s="30" t="s">
        <v>110</v>
      </c>
      <c r="I13" s="30" t="s">
        <v>128</v>
      </c>
      <c r="J13" s="22" t="s">
        <v>68</v>
      </c>
      <c r="K13" s="22" t="s">
        <v>68</v>
      </c>
      <c r="L13" s="22" t="s">
        <v>70</v>
      </c>
      <c r="M13" s="22" t="s">
        <v>70</v>
      </c>
      <c r="N13" s="28" cm="1">
        <f t="array" ref="N13">IF(OR(L13="",M13=""),"", IF(OR(ISNA(MATCH(L13,{"Low","Medium","High"},0)), ISNA(MATCH(M13,{"Low","Medium","High"},0))),"",_xlfn.SWITCH(L13,"Low",1,"Medium",2,"High",3) + 3 * _xlfn.SWITCH(M13,"Low",1,"Medium",2,"High",3) - 3))</f>
        <v>5</v>
      </c>
      <c r="O13" s="33" t="s">
        <v>25</v>
      </c>
      <c r="P13" s="22" t="str">
        <f>IFERROR(VLOOKUP(O13,'Excel Table (Do Not Format)'!A:D,2,FALSE),"")</f>
        <v>Core Talent [M,M]</v>
      </c>
      <c r="Q13" s="22" t="str">
        <f>IFERROR(VLOOKUP(O13,'Excel Table (Do Not Format)'!A:D,3,FALSE),"")</f>
        <v>identify performance barriers, explore portential to expand responsibilties in current role and discuss career aspirations (ideally for talent new in role)</v>
      </c>
      <c r="R13" s="22" t="str">
        <f>IFERROR(VLOOKUP(O13,'Excel Table (Do Not Format)'!A:D,4,FALSE),"")</f>
        <v xml:space="preserve">Develop in Role - Identify developmental activities to continue to grow their skill and set them up for success for anticiapted progression </v>
      </c>
      <c r="S13" s="46" t="s">
        <v>129</v>
      </c>
      <c r="T13" s="44" t="s">
        <v>72</v>
      </c>
      <c r="U13" s="2" t="s">
        <v>74</v>
      </c>
      <c r="V13" s="2" t="s">
        <v>74</v>
      </c>
      <c r="W13" s="2"/>
      <c r="X13" s="2"/>
    </row>
    <row r="14" spans="1:24" ht="45">
      <c r="A14" s="29">
        <v>102014</v>
      </c>
      <c r="B14" s="22" t="s">
        <v>130</v>
      </c>
      <c r="C14" s="30" t="s">
        <v>120</v>
      </c>
      <c r="D14" s="30" t="s">
        <v>99</v>
      </c>
      <c r="E14" s="30" t="s">
        <v>99</v>
      </c>
      <c r="F14" s="30" t="s">
        <v>90</v>
      </c>
      <c r="G14" s="31">
        <v>44340</v>
      </c>
      <c r="H14" s="30" t="s">
        <v>66</v>
      </c>
      <c r="I14" s="30" t="s">
        <v>111</v>
      </c>
      <c r="J14" s="22" t="s">
        <v>106</v>
      </c>
      <c r="K14" s="22" t="s">
        <v>68</v>
      </c>
      <c r="L14" s="22" t="s">
        <v>70</v>
      </c>
      <c r="M14" s="22" t="s">
        <v>101</v>
      </c>
      <c r="N14" s="28" cm="1">
        <f t="array" ref="N14">IF(OR(L14="",M14=""),"", IF(OR(ISNA(MATCH(L14,{"Low","Medium","High"},0)), ISNA(MATCH(M14,{"Low","Medium","High"},0))),"",_xlfn.SWITCH(L14,"Low",1,"Medium",2,"High",3) + 3 * _xlfn.SWITCH(M14,"Low",1,"Medium",2,"High",3) - 3))</f>
        <v>8</v>
      </c>
      <c r="O14" s="33" t="s">
        <v>25</v>
      </c>
      <c r="P14" s="22" t="str">
        <f>IFERROR(VLOOKUP(O14,'Excel Table (Do Not Format)'!A:D,2,FALSE),"")</f>
        <v>Core Talent [M,M]</v>
      </c>
      <c r="Q14" s="22" t="str">
        <f>IFERROR(VLOOKUP(O14,'Excel Table (Do Not Format)'!A:D,3,FALSE),"")</f>
        <v>identify performance barriers, explore portential to expand responsibilties in current role and discuss career aspirations (ideally for talent new in role)</v>
      </c>
      <c r="R14" s="22" t="str">
        <f>IFERROR(VLOOKUP(O14,'Excel Table (Do Not Format)'!A:D,4,FALSE),"")</f>
        <v xml:space="preserve">Develop in Role - Identify developmental activities to continue to grow their skill and set them up for success for anticiapted progression </v>
      </c>
      <c r="S14" s="46"/>
      <c r="T14" s="44"/>
      <c r="U14" s="2" t="s">
        <v>92</v>
      </c>
      <c r="V14" s="2" t="s">
        <v>92</v>
      </c>
      <c r="W14" s="2"/>
      <c r="X14" s="2"/>
    </row>
    <row r="15" spans="1:24" ht="60">
      <c r="A15" s="29">
        <v>102692</v>
      </c>
      <c r="B15" s="22" t="s">
        <v>131</v>
      </c>
      <c r="C15" s="30" t="s">
        <v>132</v>
      </c>
      <c r="D15" s="30" t="s">
        <v>133</v>
      </c>
      <c r="E15" s="30" t="s">
        <v>133</v>
      </c>
      <c r="F15" s="30" t="s">
        <v>83</v>
      </c>
      <c r="G15" s="31">
        <v>44476</v>
      </c>
      <c r="H15" s="30" t="s">
        <v>110</v>
      </c>
      <c r="I15" s="30" t="s">
        <v>134</v>
      </c>
      <c r="J15" s="22" t="s">
        <v>68</v>
      </c>
      <c r="K15" s="22" t="s">
        <v>112</v>
      </c>
      <c r="L15" s="22" t="s">
        <v>101</v>
      </c>
      <c r="M15" s="22" t="s">
        <v>101</v>
      </c>
      <c r="N15" s="28" cm="1">
        <f t="array" ref="N15">IF(OR(L15="",M15=""),"", IF(OR(ISNA(MATCH(L15,{"Low","Medium","High"},0)), ISNA(MATCH(M15,{"Low","Medium","High"},0))),"",_xlfn.SWITCH(L15,"Low",1,"Medium",2,"High",3) + 3 * _xlfn.SWITCH(M15,"Low",1,"Medium",2,"High",3) - 3))</f>
        <v>9</v>
      </c>
      <c r="O15" s="33" t="s">
        <v>39</v>
      </c>
      <c r="P15" s="22" t="str">
        <f>IFERROR(VLOOKUP(O15,'Excel Table (Do Not Format)'!A:D,2,FALSE),"")</f>
        <v>Top Talent [H,H]</v>
      </c>
      <c r="Q15" s="22" t="str">
        <f>IFERROR(VLOOKUP(O15,'Excel Table (Do Not Format)'!A:D,3,FALSE),"")</f>
        <v xml:space="preserve">identify stretch experiences or temporary assignments, increase executive exposure </v>
      </c>
      <c r="R15" s="22" t="str">
        <f>IFERROR(VLOOKUP(O15,'Excel Table (Do Not Format)'!A:D,4,FALSE),"")</f>
        <v xml:space="preserve">Differentially Invest - Ensure career discussions are happening regularly? Do they have an individual development plan? What opportunities exist to accelerate development and growth? Revisit talent often to plan for next steps. </v>
      </c>
      <c r="S15" s="46"/>
      <c r="T15" s="44"/>
      <c r="U15" s="2" t="s">
        <v>102</v>
      </c>
      <c r="V15" s="2" t="s">
        <v>102</v>
      </c>
      <c r="W15" s="2"/>
      <c r="X15" s="2"/>
    </row>
    <row r="16" spans="1:24" ht="75">
      <c r="A16" s="29">
        <v>106415</v>
      </c>
      <c r="B16" s="22" t="s">
        <v>135</v>
      </c>
      <c r="C16" s="30" t="s">
        <v>136</v>
      </c>
      <c r="D16" s="30" t="s">
        <v>137</v>
      </c>
      <c r="E16" s="30" t="s">
        <v>137</v>
      </c>
      <c r="F16" s="30" t="s">
        <v>83</v>
      </c>
      <c r="G16" s="31">
        <v>45971</v>
      </c>
      <c r="H16" s="30" t="s">
        <v>84</v>
      </c>
      <c r="I16" s="30" t="s">
        <v>85</v>
      </c>
      <c r="J16" s="22"/>
      <c r="K16" s="22"/>
      <c r="L16" s="22"/>
      <c r="M16" s="22"/>
      <c r="N16" s="22"/>
      <c r="O16" s="33" t="s">
        <v>25</v>
      </c>
      <c r="P16" s="22" t="str">
        <f>IFERROR(VLOOKUP(O16,'Excel Table (Do Not Format)'!A:D,2,FALSE),"")</f>
        <v>Core Talent [M,M]</v>
      </c>
      <c r="Q16" s="22" t="str">
        <f>IFERROR(VLOOKUP(O16,'Excel Table (Do Not Format)'!A:D,3,FALSE),"")</f>
        <v>identify performance barriers, explore portential to expand responsibilties in current role and discuss career aspirations (ideally for talent new in role)</v>
      </c>
      <c r="R16" s="22" t="str">
        <f>IFERROR(VLOOKUP(O16,'Excel Table (Do Not Format)'!A:D,4,FALSE),"")</f>
        <v xml:space="preserve">Develop in Role - Identify developmental activities to continue to grow their skill and set them up for success for anticiapted progression </v>
      </c>
      <c r="S16" s="46"/>
      <c r="T16" s="44"/>
      <c r="U16" s="2" t="s">
        <v>102</v>
      </c>
      <c r="V16" s="2" t="s">
        <v>102</v>
      </c>
      <c r="W16" s="2"/>
      <c r="X16" s="2"/>
    </row>
    <row r="17" spans="1:24" ht="54.95" customHeight="1">
      <c r="A17" s="29">
        <v>102693</v>
      </c>
      <c r="B17" s="22" t="s">
        <v>138</v>
      </c>
      <c r="C17" s="30" t="s">
        <v>139</v>
      </c>
      <c r="D17" s="30" t="s">
        <v>139</v>
      </c>
      <c r="E17" s="30" t="s">
        <v>140</v>
      </c>
      <c r="F17" s="30" t="s">
        <v>116</v>
      </c>
      <c r="G17" s="31">
        <v>44476</v>
      </c>
      <c r="H17" s="30" t="s">
        <v>110</v>
      </c>
      <c r="I17" s="30" t="s">
        <v>141</v>
      </c>
      <c r="J17" s="22" t="s">
        <v>68</v>
      </c>
      <c r="K17" s="22" t="s">
        <v>68</v>
      </c>
      <c r="L17" s="22" t="s">
        <v>101</v>
      </c>
      <c r="M17" s="22" t="s">
        <v>101</v>
      </c>
      <c r="N17" s="28" cm="1">
        <f t="array" ref="N17">IF(OR(L17="",M17=""),"", IF(OR(ISNA(MATCH(L17,{"Low","Medium","High"},0)), ISNA(MATCH(M17,{"Low","Medium","High"},0))),"",_xlfn.SWITCH(L17,"Low",1,"Medium",2,"High",3) + 3 * _xlfn.SWITCH(M17,"Low",1,"Medium",2,"High",3) - 3))</f>
        <v>9</v>
      </c>
      <c r="O17" s="33" t="s">
        <v>39</v>
      </c>
      <c r="P17" s="22" t="str">
        <f>IFERROR(VLOOKUP(O17,'Excel Table (Do Not Format)'!A:D,2,FALSE),"")</f>
        <v>Top Talent [H,H]</v>
      </c>
      <c r="Q17" s="22" t="str">
        <f>IFERROR(VLOOKUP(O17,'Excel Table (Do Not Format)'!A:D,3,FALSE),"")</f>
        <v xml:space="preserve">identify stretch experiences or temporary assignments, increase executive exposure </v>
      </c>
      <c r="R17" s="22" t="str">
        <f>IFERROR(VLOOKUP(O17,'Excel Table (Do Not Format)'!A:D,4,FALSE),"")</f>
        <v xml:space="preserve">Differentially Invest - Ensure career discussions are happening regularly? Do they have an individual development plan? What opportunities exist to accelerate development and growth? Revisit talent often to plan for next steps. </v>
      </c>
      <c r="S17" s="46" t="s">
        <v>142</v>
      </c>
      <c r="T17" s="44" t="s">
        <v>80</v>
      </c>
      <c r="U17" s="2" t="s">
        <v>74</v>
      </c>
      <c r="V17" s="2" t="s">
        <v>74</v>
      </c>
      <c r="W17" s="2"/>
      <c r="X17" s="2"/>
    </row>
    <row r="18" spans="1:24" ht="56.1">
      <c r="A18" s="29">
        <v>103412</v>
      </c>
      <c r="B18" s="22" t="s">
        <v>143</v>
      </c>
      <c r="C18" s="30" t="s">
        <v>144</v>
      </c>
      <c r="D18" s="30" t="s">
        <v>104</v>
      </c>
      <c r="E18" s="30" t="s">
        <v>104</v>
      </c>
      <c r="F18" s="30" t="s">
        <v>65</v>
      </c>
      <c r="G18" s="31">
        <v>44599</v>
      </c>
      <c r="H18" s="30" t="s">
        <v>66</v>
      </c>
      <c r="I18" s="30" t="s">
        <v>121</v>
      </c>
      <c r="J18" s="22" t="s">
        <v>68</v>
      </c>
      <c r="K18" s="22" t="s">
        <v>68</v>
      </c>
      <c r="L18" s="22" t="s">
        <v>101</v>
      </c>
      <c r="M18" s="22" t="s">
        <v>101</v>
      </c>
      <c r="N18" s="28" cm="1">
        <f t="array" ref="N18">IF(OR(L18="",M18=""),"", IF(OR(ISNA(MATCH(L18,{"Low","Medium","High"},0)), ISNA(MATCH(M18,{"Low","Medium","High"},0))),"",_xlfn.SWITCH(L18,"Low",1,"Medium",2,"High",3) + 3 * _xlfn.SWITCH(M18,"Low",1,"Medium",2,"High",3) - 3))</f>
        <v>9</v>
      </c>
      <c r="O18" s="33" t="s">
        <v>36</v>
      </c>
      <c r="P18" s="22" t="str">
        <f>IFERROR(VLOOKUP(O18,'Excel Table (Do Not Format)'!A:D,2,FALSE),"")</f>
        <v>Growth Talent [M,H]</v>
      </c>
      <c r="Q18" s="22" t="str">
        <f>IFERROR(VLOOKUP(O18,'Excel Table (Do Not Format)'!A:D,3,FALSE),"")</f>
        <v xml:space="preserve">identify performance barriers, explore portential to expand responsibilties in current role </v>
      </c>
      <c r="R18" s="22" t="str">
        <f>IFERROR(VLOOKUP(O18,'Excel Table (Do Not Format)'!A:D,4,FALSE),"")</f>
        <v xml:space="preserve">Differentially Invest - Ensure career discussions are happening regularly? Do they have an individual development plan? What opportunities exist to accelerate development and growth? Revisit talent often to plan for next steps. </v>
      </c>
      <c r="S18" s="46" t="s">
        <v>145</v>
      </c>
      <c r="T18" s="44" t="s">
        <v>72</v>
      </c>
      <c r="U18" s="2" t="s">
        <v>74</v>
      </c>
      <c r="V18" s="2" t="s">
        <v>74</v>
      </c>
      <c r="W18" s="2"/>
      <c r="X18" s="2"/>
    </row>
    <row r="19" spans="1:24" ht="15.75" customHeight="1">
      <c r="A19" s="37">
        <v>104467</v>
      </c>
      <c r="B19" s="22" t="s">
        <v>146</v>
      </c>
      <c r="C19" s="38" t="s">
        <v>147</v>
      </c>
      <c r="D19" s="38" t="s">
        <v>148</v>
      </c>
      <c r="E19" s="38" t="s">
        <v>148</v>
      </c>
      <c r="F19" s="38" t="s">
        <v>149</v>
      </c>
      <c r="G19" s="39">
        <v>44866</v>
      </c>
      <c r="H19" s="38" t="s">
        <v>150</v>
      </c>
      <c r="I19" s="38" t="s">
        <v>151</v>
      </c>
      <c r="J19" s="22" t="s">
        <v>68</v>
      </c>
      <c r="K19" s="22" t="s">
        <v>106</v>
      </c>
      <c r="L19" s="22" t="s">
        <v>70</v>
      </c>
      <c r="M19" s="22" t="s">
        <v>70</v>
      </c>
      <c r="N19" s="22">
        <v>5</v>
      </c>
      <c r="O19" s="33" t="s">
        <v>36</v>
      </c>
      <c r="P19" s="22" t="s">
        <v>26</v>
      </c>
      <c r="Q19" s="22" t="s">
        <v>152</v>
      </c>
      <c r="R19" s="40" t="s">
        <v>153</v>
      </c>
      <c r="S19" s="47" t="s">
        <v>154</v>
      </c>
      <c r="T19" s="45" t="s">
        <v>72</v>
      </c>
      <c r="U19" s="2" t="s">
        <v>74</v>
      </c>
      <c r="V19" s="2" t="s">
        <v>74</v>
      </c>
      <c r="W19" s="2"/>
      <c r="X19" s="2"/>
    </row>
  </sheetData>
  <autoFilter ref="A1:X1" xr:uid="{00000000-0001-0000-0000-000000000000}"/>
  <dataConsolidate/>
  <conditionalFormatting sqref="A1:T1">
    <cfRule type="containsText" dxfId="19" priority="6" operator="containsText" text="Evaluate Fit/Make a Plan ">
      <formula>NOT(ISERROR(SEARCH("Evaluate Fit/Make a Plan ",A1)))</formula>
    </cfRule>
    <cfRule type="containsText" dxfId="18" priority="7" operator="containsText" text="Develop in Role">
      <formula>NOT(ISERROR(SEARCH("Develop in Role",A1)))</formula>
    </cfRule>
    <cfRule type="containsText" dxfId="17" priority="8" stopIfTrue="1" operator="containsText" text="Make a Plan">
      <formula>NOT(ISERROR(SEARCH("Make a Plan",A1)))</formula>
    </cfRule>
    <cfRule type="containsText" dxfId="16" priority="9" operator="containsText" text="Evaluate Fit ">
      <formula>NOT(ISERROR(SEARCH("Evaluate Fit ",A1)))</formula>
    </cfRule>
    <cfRule type="containsText" dxfId="15" priority="10" operator="containsText" text="Differentially Invest">
      <formula>NOT(ISERROR(SEARCH("Differentially Invest",A1)))</formula>
    </cfRule>
  </conditionalFormatting>
  <conditionalFormatting sqref="O7 O15 O17:O19">
    <cfRule type="containsText" dxfId="14" priority="31" operator="containsText" text="Not Meeting Expectations">
      <formula>NOT(ISERROR(SEARCH("Not Meeting Expectations",O7)))</formula>
    </cfRule>
  </conditionalFormatting>
  <conditionalFormatting sqref="O19">
    <cfRule type="containsText" dxfId="13" priority="1" operator="containsText" text="Evaluate Fit/Make a Plan ">
      <formula>NOT(ISERROR(SEARCH("Evaluate Fit/Make a Plan ",O19)))</formula>
    </cfRule>
    <cfRule type="containsText" dxfId="12" priority="2" operator="containsText" text="Develop in Role">
      <formula>NOT(ISERROR(SEARCH("Develop in Role",O19)))</formula>
    </cfRule>
    <cfRule type="containsText" dxfId="11" priority="3" stopIfTrue="1" operator="containsText" text="Make a Plan">
      <formula>NOT(ISERROR(SEARCH("Make a Plan",O19)))</formula>
    </cfRule>
    <cfRule type="containsText" dxfId="10" priority="4" operator="containsText" text="Evaluate Fit ">
      <formula>NOT(ISERROR(SEARCH("Evaluate Fit ",O19)))</formula>
    </cfRule>
    <cfRule type="containsText" dxfId="9" priority="5" operator="containsText" text="Differentially Invest">
      <formula>NOT(ISERROR(SEARCH("Differentially Invest",O19)))</formula>
    </cfRule>
  </conditionalFormatting>
  <conditionalFormatting sqref="Y1:XFD19 C2:I18 O2:S18 A4:A18 A20:XFD1048576">
    <cfRule type="containsText" dxfId="8" priority="11" operator="containsText" text="Evaluate Fit/Make a Plan ">
      <formula>NOT(ISERROR(SEARCH("Evaluate Fit/Make a Plan ",A1)))</formula>
    </cfRule>
    <cfRule type="containsText" dxfId="7" priority="12" operator="containsText" text="Develop in Role">
      <formula>NOT(ISERROR(SEARCH("Develop in Role",A1)))</formula>
    </cfRule>
    <cfRule type="containsText" dxfId="6" priority="13" stopIfTrue="1" operator="containsText" text="Make a Plan">
      <formula>NOT(ISERROR(SEARCH("Make a Plan",A1)))</formula>
    </cfRule>
    <cfRule type="containsText" dxfId="5" priority="14" operator="containsText" text="Evaluate Fit ">
      <formula>NOT(ISERROR(SEARCH("Evaluate Fit ",A1)))</formula>
    </cfRule>
    <cfRule type="containsText" dxfId="4" priority="15" operator="containsText" text="Differentially Invest">
      <formula>NOT(ISERROR(SEARCH("Differentially Invest",A1)))</formula>
    </cfRule>
  </conditionalFormatting>
  <dataValidations count="3">
    <dataValidation type="list" allowBlank="1" showInputMessage="1" showErrorMessage="1" sqref="L6:M15 L2:M3 L17:M18" xr:uid="{A0182A8A-780A-4499-BDD1-B289E2719D31}">
      <formula1>"High,Medium,Low"</formula1>
    </dataValidation>
    <dataValidation type="list" allowBlank="1" showInputMessage="1" showErrorMessage="1" sqref="T2:T18" xr:uid="{735442A8-39C8-421F-85AD-84F3D46997B0}">
      <formula1>"Yes, No"</formula1>
    </dataValidation>
    <dataValidation showDropDown="1" showInputMessage="1" showErrorMessage="1" sqref="O1" xr:uid="{4DE468BE-7877-44E3-B0AD-A66F4192393C}"/>
  </dataValidations>
  <pageMargins left="0.7" right="0.7" top="0.75" bottom="0.75" header="0.3" footer="0.3"/>
  <pageSetup orientation="portrait" horizontalDpi="0" verticalDpi="0"/>
  <extLst>
    <ext xmlns:x14="http://schemas.microsoft.com/office/spreadsheetml/2009/9/main" uri="{CCE6A557-97BC-4b89-ADB6-D9C93CAAB3DF}">
      <x14:dataValidations xmlns:xm="http://schemas.microsoft.com/office/excel/2006/main" count="1">
        <x14:dataValidation type="list" allowBlank="1" showInputMessage="1" showErrorMessage="1" xr:uid="{6E09FC09-E3C5-C948-BE90-82BCA1F4A549}">
          <x14:formula1>
            <xm:f>'Excel Table (Do Not Format)'!$A$2:$A$10</xm:f>
          </x14:formula1>
          <xm:sqref>O2:O1048576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D04A3-473E-4357-9017-2FED0C3AB10C}">
  <dimension ref="A1:G130"/>
  <sheetViews>
    <sheetView tabSelected="1" topLeftCell="A7" workbookViewId="0">
      <selection activeCell="C11" activeCellId="2" sqref="C9 C10 C11"/>
    </sheetView>
  </sheetViews>
  <sheetFormatPr defaultColWidth="8.875" defaultRowHeight="15.95"/>
  <cols>
    <col min="1" max="1" width="42.75" bestFit="1" customWidth="1"/>
    <col min="2" max="2" width="14.625" bestFit="1" customWidth="1"/>
    <col min="3" max="3" width="10" customWidth="1"/>
    <col min="4" max="4" width="15.625" customWidth="1"/>
    <col min="5" max="5" width="42.875" bestFit="1" customWidth="1"/>
    <col min="6" max="6" width="41.125" bestFit="1" customWidth="1"/>
    <col min="7" max="8" width="4.875" bestFit="1" customWidth="1"/>
    <col min="9" max="14" width="45.875" bestFit="1" customWidth="1"/>
    <col min="15" max="15" width="10.375" bestFit="1" customWidth="1"/>
    <col min="16" max="16" width="11.875" bestFit="1" customWidth="1"/>
    <col min="17" max="17" width="30" bestFit="1" customWidth="1"/>
    <col min="18" max="18" width="14.375" bestFit="1" customWidth="1"/>
    <col min="19" max="19" width="12.125" bestFit="1" customWidth="1"/>
    <col min="20" max="20" width="23.875" bestFit="1" customWidth="1"/>
    <col min="21" max="22" width="9.5" bestFit="1" customWidth="1"/>
    <col min="23" max="23" width="10.125" bestFit="1" customWidth="1"/>
    <col min="24" max="24" width="9.875" bestFit="1" customWidth="1"/>
    <col min="25" max="25" width="19.625" bestFit="1" customWidth="1"/>
    <col min="26" max="26" width="14.125" bestFit="1" customWidth="1"/>
    <col min="27" max="27" width="10.625" bestFit="1" customWidth="1"/>
    <col min="28" max="28" width="15.125" bestFit="1" customWidth="1"/>
    <col min="29" max="30" width="15.625" bestFit="1" customWidth="1"/>
    <col min="31" max="31" width="10.5" bestFit="1" customWidth="1"/>
    <col min="32" max="32" width="10.375" bestFit="1" customWidth="1"/>
    <col min="33" max="33" width="8.5" bestFit="1" customWidth="1"/>
    <col min="34" max="34" width="14.625" bestFit="1" customWidth="1"/>
    <col min="35" max="35" width="16.125" bestFit="1" customWidth="1"/>
    <col min="36" max="36" width="19.625" bestFit="1" customWidth="1"/>
    <col min="37" max="37" width="11.125" bestFit="1" customWidth="1"/>
    <col min="38" max="38" width="10.625" bestFit="1" customWidth="1"/>
    <col min="39" max="39" width="13.625" bestFit="1" customWidth="1"/>
    <col min="40" max="40" width="13.5" bestFit="1" customWidth="1"/>
    <col min="41" max="41" width="17.375" bestFit="1" customWidth="1"/>
    <col min="42" max="42" width="11.875" bestFit="1" customWidth="1"/>
    <col min="43" max="43" width="9.625" bestFit="1" customWidth="1"/>
    <col min="44" max="44" width="17.875" bestFit="1" customWidth="1"/>
    <col min="45" max="45" width="12.375" bestFit="1" customWidth="1"/>
    <col min="46" max="46" width="17.375" bestFit="1" customWidth="1"/>
    <col min="47" max="47" width="13.125" bestFit="1" customWidth="1"/>
    <col min="48" max="48" width="27.875" bestFit="1" customWidth="1"/>
    <col min="49" max="49" width="11.875" bestFit="1" customWidth="1"/>
    <col min="50" max="50" width="13.125" bestFit="1" customWidth="1"/>
    <col min="51" max="51" width="14.875" bestFit="1" customWidth="1"/>
    <col min="52" max="52" width="9.875" bestFit="1" customWidth="1"/>
    <col min="53" max="53" width="21.125" bestFit="1" customWidth="1"/>
    <col min="54" max="54" width="10.875" bestFit="1" customWidth="1"/>
    <col min="55" max="55" width="11.125" bestFit="1" customWidth="1"/>
    <col min="56" max="56" width="10.625" bestFit="1" customWidth="1"/>
    <col min="57" max="57" width="11.375" bestFit="1" customWidth="1"/>
    <col min="58" max="58" width="14" bestFit="1" customWidth="1"/>
    <col min="59" max="59" width="10.625" bestFit="1" customWidth="1"/>
    <col min="60" max="60" width="13.125" bestFit="1" customWidth="1"/>
    <col min="61" max="61" width="6.375" bestFit="1" customWidth="1"/>
    <col min="62" max="62" width="10.125" bestFit="1" customWidth="1"/>
    <col min="63" max="63" width="23.625" bestFit="1" customWidth="1"/>
    <col min="64" max="64" width="12.375" bestFit="1" customWidth="1"/>
    <col min="65" max="65" width="18.875" bestFit="1" customWidth="1"/>
    <col min="66" max="66" width="8.875" bestFit="1" customWidth="1"/>
    <col min="67" max="67" width="12.125" bestFit="1" customWidth="1"/>
    <col min="68" max="68" width="11.125" bestFit="1" customWidth="1"/>
    <col min="69" max="69" width="14.125" bestFit="1" customWidth="1"/>
    <col min="70" max="70" width="19.125" bestFit="1" customWidth="1"/>
    <col min="71" max="71" width="16.375" bestFit="1" customWidth="1"/>
    <col min="72" max="72" width="10.5" bestFit="1" customWidth="1"/>
    <col min="73" max="73" width="13.875" bestFit="1" customWidth="1"/>
    <col min="74" max="74" width="14.875" bestFit="1" customWidth="1"/>
    <col min="75" max="75" width="13.375" bestFit="1" customWidth="1"/>
    <col min="76" max="76" width="12.375" bestFit="1" customWidth="1"/>
    <col min="77" max="78" width="14.625" bestFit="1" customWidth="1"/>
    <col min="79" max="79" width="9.125" bestFit="1" customWidth="1"/>
    <col min="80" max="80" width="15" bestFit="1" customWidth="1"/>
    <col min="81" max="81" width="17.875" bestFit="1" customWidth="1"/>
    <col min="82" max="82" width="9.625" bestFit="1" customWidth="1"/>
    <col min="83" max="83" width="13.375" bestFit="1" customWidth="1"/>
    <col min="84" max="84" width="11" bestFit="1" customWidth="1"/>
    <col min="85" max="85" width="13.625" bestFit="1" customWidth="1"/>
    <col min="86" max="86" width="12.875" bestFit="1" customWidth="1"/>
    <col min="87" max="87" width="10.625" bestFit="1" customWidth="1"/>
    <col min="88" max="88" width="11.625" bestFit="1" customWidth="1"/>
    <col min="89" max="89" width="22" bestFit="1" customWidth="1"/>
    <col min="90" max="90" width="8.125" bestFit="1" customWidth="1"/>
    <col min="91" max="91" width="11.125" bestFit="1" customWidth="1"/>
    <col min="92" max="92" width="15.625" bestFit="1" customWidth="1"/>
    <col min="93" max="93" width="7.5" bestFit="1" customWidth="1"/>
    <col min="94" max="94" width="13.375" bestFit="1" customWidth="1"/>
    <col min="95" max="95" width="13.125" bestFit="1" customWidth="1"/>
    <col min="96" max="96" width="14" bestFit="1" customWidth="1"/>
    <col min="97" max="97" width="12.375" bestFit="1" customWidth="1"/>
    <col min="98" max="98" width="12.5" bestFit="1" customWidth="1"/>
    <col min="99" max="99" width="8.125" bestFit="1" customWidth="1"/>
    <col min="100" max="100" width="13.125" bestFit="1" customWidth="1"/>
    <col min="101" max="101" width="14.875" bestFit="1" customWidth="1"/>
    <col min="102" max="102" width="32.5" bestFit="1" customWidth="1"/>
    <col min="103" max="103" width="10.375" bestFit="1" customWidth="1"/>
    <col min="104" max="104" width="22.125" bestFit="1" customWidth="1"/>
    <col min="105" max="105" width="19.375" bestFit="1" customWidth="1"/>
    <col min="106" max="106" width="14.375" bestFit="1" customWidth="1"/>
    <col min="107" max="107" width="18.125" bestFit="1" customWidth="1"/>
    <col min="108" max="108" width="13.875" bestFit="1" customWidth="1"/>
    <col min="109" max="109" width="15.125" bestFit="1" customWidth="1"/>
    <col min="110" max="110" width="10.125" bestFit="1" customWidth="1"/>
    <col min="111" max="111" width="13.875" bestFit="1" customWidth="1"/>
    <col min="112" max="112" width="13.625" bestFit="1" customWidth="1"/>
    <col min="113" max="113" width="11.375" bestFit="1" customWidth="1"/>
    <col min="114" max="114" width="12.125" bestFit="1" customWidth="1"/>
    <col min="115" max="115" width="10.875" bestFit="1" customWidth="1"/>
    <col min="116" max="116" width="11.375" bestFit="1" customWidth="1"/>
    <col min="117" max="117" width="10" bestFit="1" customWidth="1"/>
    <col min="118" max="118" width="28.5" bestFit="1" customWidth="1"/>
    <col min="119" max="119" width="11.125" bestFit="1" customWidth="1"/>
    <col min="120" max="120" width="9.375" bestFit="1" customWidth="1"/>
    <col min="121" max="121" width="6.625" bestFit="1" customWidth="1"/>
    <col min="122" max="122" width="10.375" bestFit="1" customWidth="1"/>
    <col min="123" max="123" width="20.5" bestFit="1" customWidth="1"/>
    <col min="124" max="124" width="23.5" bestFit="1" customWidth="1"/>
    <col min="125" max="125" width="15.375" bestFit="1" customWidth="1"/>
    <col min="126" max="126" width="13.375" bestFit="1" customWidth="1"/>
    <col min="127" max="127" width="17.375" bestFit="1" customWidth="1"/>
    <col min="128" max="128" width="16.875" bestFit="1" customWidth="1"/>
    <col min="129" max="129" width="15.375" bestFit="1" customWidth="1"/>
    <col min="130" max="130" width="15.625" bestFit="1" customWidth="1"/>
    <col min="131" max="131" width="15.875" bestFit="1" customWidth="1"/>
    <col min="132" max="132" width="18.875" bestFit="1" customWidth="1"/>
    <col min="133" max="133" width="20.625" bestFit="1" customWidth="1"/>
    <col min="134" max="134" width="23.625" bestFit="1" customWidth="1"/>
    <col min="135" max="135" width="18" bestFit="1" customWidth="1"/>
    <col min="136" max="136" width="21.125" bestFit="1" customWidth="1"/>
    <col min="137" max="137" width="15.375" bestFit="1" customWidth="1"/>
    <col min="138" max="138" width="15.125" bestFit="1" customWidth="1"/>
    <col min="139" max="139" width="21.375" bestFit="1" customWidth="1"/>
    <col min="140" max="140" width="18.375" bestFit="1" customWidth="1"/>
    <col min="141" max="141" width="16.5" bestFit="1" customWidth="1"/>
    <col min="142" max="142" width="19.5" bestFit="1" customWidth="1"/>
    <col min="143" max="143" width="15.375" bestFit="1" customWidth="1"/>
    <col min="144" max="144" width="17.875" bestFit="1" customWidth="1"/>
    <col min="145" max="145" width="15.125" bestFit="1" customWidth="1"/>
    <col min="146" max="146" width="17" bestFit="1" customWidth="1"/>
    <col min="147" max="147" width="16.375" bestFit="1" customWidth="1"/>
    <col min="148" max="148" width="19.375" bestFit="1" customWidth="1"/>
    <col min="149" max="149" width="16.125" bestFit="1" customWidth="1"/>
    <col min="150" max="150" width="19.125" bestFit="1" customWidth="1"/>
    <col min="151" max="151" width="15.375" bestFit="1" customWidth="1"/>
    <col min="152" max="152" width="13.625" bestFit="1" customWidth="1"/>
    <col min="153" max="153" width="21.375" bestFit="1" customWidth="1"/>
    <col min="154" max="154" width="19.625" bestFit="1" customWidth="1"/>
    <col min="155" max="155" width="19.5" bestFit="1" customWidth="1"/>
    <col min="156" max="156" width="22.5" bestFit="1" customWidth="1"/>
    <col min="157" max="157" width="15.375" bestFit="1" customWidth="1"/>
    <col min="158" max="158" width="14.125" bestFit="1" customWidth="1"/>
    <col min="159" max="159" width="17.375" bestFit="1" customWidth="1"/>
    <col min="160" max="160" width="18" bestFit="1" customWidth="1"/>
    <col min="161" max="161" width="15.125" bestFit="1" customWidth="1"/>
    <col min="162" max="162" width="15.625" bestFit="1" customWidth="1"/>
    <col min="163" max="163" width="15.375" bestFit="1" customWidth="1"/>
    <col min="164" max="164" width="18.125" bestFit="1" customWidth="1"/>
    <col min="165" max="165" width="15.375" bestFit="1" customWidth="1"/>
    <col min="166" max="166" width="17.375" bestFit="1" customWidth="1"/>
    <col min="167" max="167" width="15.375" bestFit="1" customWidth="1"/>
    <col min="168" max="168" width="15.125" bestFit="1" customWidth="1"/>
    <col min="169" max="169" width="21.5" bestFit="1" customWidth="1"/>
    <col min="170" max="170" width="16.375" bestFit="1" customWidth="1"/>
    <col min="171" max="171" width="23.375" bestFit="1" customWidth="1"/>
    <col min="172" max="172" width="26.5" bestFit="1" customWidth="1"/>
    <col min="173" max="173" width="17.375" bestFit="1" customWidth="1"/>
    <col min="174" max="174" width="12.625" bestFit="1" customWidth="1"/>
    <col min="175" max="175" width="15.375" bestFit="1" customWidth="1"/>
    <col min="176" max="176" width="15.875" bestFit="1" customWidth="1"/>
    <col min="177" max="177" width="17.125" bestFit="1" customWidth="1"/>
    <col min="178" max="178" width="20.125" bestFit="1" customWidth="1"/>
    <col min="179" max="179" width="15.375" bestFit="1" customWidth="1"/>
    <col min="180" max="180" width="12" bestFit="1" customWidth="1"/>
    <col min="181" max="181" width="17.375" bestFit="1" customWidth="1"/>
    <col min="182" max="182" width="18" bestFit="1" customWidth="1"/>
    <col min="183" max="183" width="21.5" bestFit="1" customWidth="1"/>
    <col min="184" max="184" width="17.625" bestFit="1" customWidth="1"/>
    <col min="185" max="185" width="17.375" bestFit="1" customWidth="1"/>
    <col min="186" max="186" width="18.5" bestFit="1" customWidth="1"/>
    <col min="187" max="187" width="15.375" bestFit="1" customWidth="1"/>
    <col min="188" max="188" width="17.125" bestFit="1" customWidth="1"/>
    <col min="189" max="189" width="15.375" bestFit="1" customWidth="1"/>
    <col min="190" max="190" width="17.125" bestFit="1" customWidth="1"/>
    <col min="191" max="191" width="15.375" bestFit="1" customWidth="1"/>
    <col min="192" max="192" width="12.625" bestFit="1" customWidth="1"/>
    <col min="193" max="193" width="14.875" bestFit="1" customWidth="1"/>
    <col min="194" max="194" width="17.875" bestFit="1" customWidth="1"/>
    <col min="195" max="195" width="16.375" bestFit="1" customWidth="1"/>
    <col min="196" max="196" width="19.375" bestFit="1" customWidth="1"/>
    <col min="197" max="197" width="33.875" bestFit="1" customWidth="1"/>
    <col min="198" max="198" width="37" bestFit="1" customWidth="1"/>
    <col min="199" max="199" width="15.375" bestFit="1" customWidth="1"/>
    <col min="200" max="200" width="15" bestFit="1" customWidth="1"/>
    <col min="201" max="201" width="23.625" bestFit="1" customWidth="1"/>
    <col min="202" max="202" width="26.625" bestFit="1" customWidth="1"/>
    <col min="203" max="203" width="21" bestFit="1" customWidth="1"/>
    <col min="204" max="204" width="24" bestFit="1" customWidth="1"/>
    <col min="205" max="205" width="15.875" bestFit="1" customWidth="1"/>
    <col min="206" max="206" width="18.875" bestFit="1" customWidth="1"/>
    <col min="207" max="207" width="19.625" bestFit="1" customWidth="1"/>
    <col min="208" max="208" width="22.625" bestFit="1" customWidth="1"/>
    <col min="209" max="209" width="15.5" bestFit="1" customWidth="1"/>
    <col min="210" max="210" width="18.5" bestFit="1" customWidth="1"/>
    <col min="211" max="211" width="16.625" bestFit="1" customWidth="1"/>
    <col min="212" max="212" width="19.625" bestFit="1" customWidth="1"/>
    <col min="213" max="213" width="15.375" bestFit="1" customWidth="1"/>
    <col min="214" max="214" width="14.625" bestFit="1" customWidth="1"/>
    <col min="215" max="215" width="15.5" bestFit="1" customWidth="1"/>
    <col min="216" max="216" width="18.5" bestFit="1" customWidth="1"/>
    <col min="217" max="217" width="15.375" bestFit="1" customWidth="1"/>
    <col min="218" max="218" width="18.125" bestFit="1" customWidth="1"/>
    <col min="219" max="219" width="15.375" bestFit="1" customWidth="1"/>
    <col min="220" max="220" width="15.875" bestFit="1" customWidth="1"/>
    <col min="221" max="221" width="15.375" bestFit="1" customWidth="1"/>
    <col min="222" max="222" width="16.875" bestFit="1" customWidth="1"/>
    <col min="223" max="223" width="21.375" bestFit="1" customWidth="1"/>
    <col min="224" max="224" width="15.5" bestFit="1" customWidth="1"/>
    <col min="225" max="225" width="21.5" bestFit="1" customWidth="1"/>
    <col min="226" max="226" width="15.875" bestFit="1" customWidth="1"/>
    <col min="227" max="227" width="14.125" bestFit="1" customWidth="1"/>
    <col min="228" max="228" width="14.625" bestFit="1" customWidth="1"/>
    <col min="229" max="229" width="30.125" bestFit="1" customWidth="1"/>
    <col min="230" max="230" width="33.125" bestFit="1" customWidth="1"/>
    <col min="231" max="231" width="21.5" bestFit="1" customWidth="1"/>
    <col min="232" max="232" width="15.625" bestFit="1" customWidth="1"/>
    <col min="233" max="233" width="14.125" bestFit="1" customWidth="1"/>
    <col min="234" max="234" width="13.875" bestFit="1" customWidth="1"/>
    <col min="235" max="235" width="8.125" bestFit="1" customWidth="1"/>
    <col min="236" max="236" width="11.125" bestFit="1" customWidth="1"/>
    <col min="237" max="237" width="10.375" bestFit="1" customWidth="1"/>
  </cols>
  <sheetData>
    <row r="1" spans="1:7">
      <c r="A1" s="26" t="s">
        <v>7</v>
      </c>
      <c r="B1" t="s">
        <v>155</v>
      </c>
    </row>
    <row r="3" spans="1:7" ht="31.5" customHeight="1">
      <c r="A3" s="26" t="s">
        <v>156</v>
      </c>
      <c r="B3" t="s">
        <v>157</v>
      </c>
      <c r="C3" t="s">
        <v>158</v>
      </c>
      <c r="E3" s="26" t="s">
        <v>157</v>
      </c>
    </row>
    <row r="4" spans="1:7">
      <c r="A4" s="27" t="s">
        <v>10</v>
      </c>
      <c r="B4">
        <v>2</v>
      </c>
      <c r="C4" s="48">
        <v>1.7391304347826087E-2</v>
      </c>
      <c r="E4" s="26" t="s">
        <v>7</v>
      </c>
      <c r="F4" s="26" t="s">
        <v>43</v>
      </c>
      <c r="G4" t="s">
        <v>159</v>
      </c>
    </row>
    <row r="5" spans="1:7">
      <c r="A5" s="27" t="s">
        <v>14</v>
      </c>
      <c r="B5">
        <v>7</v>
      </c>
      <c r="C5" s="48">
        <v>6.0869565217391307E-2</v>
      </c>
      <c r="E5" t="s">
        <v>26</v>
      </c>
      <c r="F5" t="s">
        <v>160</v>
      </c>
      <c r="G5">
        <v>1</v>
      </c>
    </row>
    <row r="6" spans="1:7">
      <c r="A6" s="27" t="s">
        <v>18</v>
      </c>
      <c r="B6">
        <v>3</v>
      </c>
      <c r="C6" s="48">
        <v>2.6086956521739129E-2</v>
      </c>
      <c r="F6" t="s">
        <v>161</v>
      </c>
      <c r="G6">
        <v>1</v>
      </c>
    </row>
    <row r="7" spans="1:7">
      <c r="A7" s="27" t="s">
        <v>21</v>
      </c>
      <c r="B7">
        <v>7</v>
      </c>
      <c r="C7" s="48">
        <v>6.0869565217391307E-2</v>
      </c>
      <c r="F7" t="s">
        <v>162</v>
      </c>
      <c r="G7">
        <v>1</v>
      </c>
    </row>
    <row r="8" spans="1:7">
      <c r="A8" s="27" t="s">
        <v>25</v>
      </c>
      <c r="B8">
        <v>62</v>
      </c>
      <c r="C8" s="48">
        <v>0.53913043478260869</v>
      </c>
      <c r="F8" t="s">
        <v>163</v>
      </c>
      <c r="G8">
        <v>1</v>
      </c>
    </row>
    <row r="9" spans="1:7">
      <c r="A9" s="27" t="s">
        <v>28</v>
      </c>
      <c r="B9">
        <v>10</v>
      </c>
      <c r="C9" s="48">
        <v>8.6956521739130432E-2</v>
      </c>
      <c r="F9" t="s">
        <v>164</v>
      </c>
      <c r="G9">
        <v>1</v>
      </c>
    </row>
    <row r="10" spans="1:7">
      <c r="A10" s="27" t="s">
        <v>36</v>
      </c>
      <c r="B10">
        <v>8</v>
      </c>
      <c r="C10" s="48">
        <v>6.9565217391304349E-2</v>
      </c>
      <c r="F10" t="s">
        <v>165</v>
      </c>
      <c r="G10">
        <v>1</v>
      </c>
    </row>
    <row r="11" spans="1:7">
      <c r="A11" s="27" t="s">
        <v>39</v>
      </c>
      <c r="B11">
        <v>16</v>
      </c>
      <c r="C11" s="48">
        <v>0.1391304347826087</v>
      </c>
      <c r="F11" t="s">
        <v>102</v>
      </c>
      <c r="G11">
        <v>1</v>
      </c>
    </row>
    <row r="12" spans="1:7">
      <c r="A12" s="27" t="s">
        <v>166</v>
      </c>
      <c r="B12">
        <v>115</v>
      </c>
      <c r="C12" s="48">
        <v>1</v>
      </c>
      <c r="F12" t="s">
        <v>167</v>
      </c>
      <c r="G12">
        <v>1</v>
      </c>
    </row>
    <row r="13" spans="1:7">
      <c r="F13" t="s">
        <v>74</v>
      </c>
      <c r="G13">
        <v>1</v>
      </c>
    </row>
    <row r="14" spans="1:7">
      <c r="F14" t="s">
        <v>75</v>
      </c>
      <c r="G14">
        <v>1</v>
      </c>
    </row>
    <row r="15" spans="1:7">
      <c r="F15" t="s">
        <v>73</v>
      </c>
      <c r="G15">
        <v>1</v>
      </c>
    </row>
    <row r="16" spans="1:7">
      <c r="F16" t="s">
        <v>87</v>
      </c>
      <c r="G16">
        <v>1</v>
      </c>
    </row>
    <row r="17" spans="6:7">
      <c r="F17" t="s">
        <v>168</v>
      </c>
      <c r="G17">
        <v>1</v>
      </c>
    </row>
    <row r="18" spans="6:7">
      <c r="F18" t="s">
        <v>169</v>
      </c>
      <c r="G18">
        <v>1</v>
      </c>
    </row>
    <row r="19" spans="6:7">
      <c r="F19" t="s">
        <v>170</v>
      </c>
      <c r="G19">
        <v>1</v>
      </c>
    </row>
    <row r="20" spans="6:7">
      <c r="F20" t="s">
        <v>171</v>
      </c>
      <c r="G20">
        <v>1</v>
      </c>
    </row>
    <row r="21" spans="6:7">
      <c r="F21" t="s">
        <v>172</v>
      </c>
      <c r="G21">
        <v>1</v>
      </c>
    </row>
    <row r="22" spans="6:7">
      <c r="F22" t="s">
        <v>173</v>
      </c>
      <c r="G22">
        <v>1</v>
      </c>
    </row>
    <row r="23" spans="6:7">
      <c r="F23" t="s">
        <v>174</v>
      </c>
      <c r="G23">
        <v>1</v>
      </c>
    </row>
    <row r="24" spans="6:7">
      <c r="F24" t="s">
        <v>175</v>
      </c>
      <c r="G24">
        <v>1</v>
      </c>
    </row>
    <row r="25" spans="6:7">
      <c r="F25" t="s">
        <v>176</v>
      </c>
      <c r="G25">
        <v>1</v>
      </c>
    </row>
    <row r="26" spans="6:7">
      <c r="F26" t="s">
        <v>177</v>
      </c>
      <c r="G26">
        <v>1</v>
      </c>
    </row>
    <row r="27" spans="6:7">
      <c r="F27" t="s">
        <v>178</v>
      </c>
      <c r="G27">
        <v>1</v>
      </c>
    </row>
    <row r="28" spans="6:7">
      <c r="F28" t="s">
        <v>103</v>
      </c>
      <c r="G28">
        <v>1</v>
      </c>
    </row>
    <row r="29" spans="6:7">
      <c r="F29" t="s">
        <v>179</v>
      </c>
      <c r="G29">
        <v>1</v>
      </c>
    </row>
    <row r="30" spans="6:7">
      <c r="F30" t="s">
        <v>180</v>
      </c>
      <c r="G30">
        <v>1</v>
      </c>
    </row>
    <row r="31" spans="6:7">
      <c r="F31" t="s">
        <v>181</v>
      </c>
      <c r="G31">
        <v>1</v>
      </c>
    </row>
    <row r="32" spans="6:7">
      <c r="F32" t="s">
        <v>182</v>
      </c>
      <c r="G32">
        <v>1</v>
      </c>
    </row>
    <row r="33" spans="6:7">
      <c r="F33" t="s">
        <v>92</v>
      </c>
      <c r="G33">
        <v>1</v>
      </c>
    </row>
    <row r="34" spans="6:7">
      <c r="F34" t="s">
        <v>183</v>
      </c>
      <c r="G34">
        <v>1</v>
      </c>
    </row>
    <row r="35" spans="6:7">
      <c r="F35" t="s">
        <v>184</v>
      </c>
      <c r="G35">
        <v>1</v>
      </c>
    </row>
    <row r="36" spans="6:7">
      <c r="F36" t="s">
        <v>185</v>
      </c>
      <c r="G36">
        <v>1</v>
      </c>
    </row>
    <row r="37" spans="6:7">
      <c r="F37" t="s">
        <v>186</v>
      </c>
      <c r="G37">
        <v>1</v>
      </c>
    </row>
    <row r="38" spans="6:7">
      <c r="F38" t="s">
        <v>187</v>
      </c>
      <c r="G38">
        <v>1</v>
      </c>
    </row>
    <row r="39" spans="6:7">
      <c r="F39" t="s">
        <v>188</v>
      </c>
      <c r="G39">
        <v>1</v>
      </c>
    </row>
    <row r="40" spans="6:7">
      <c r="F40" t="s">
        <v>189</v>
      </c>
      <c r="G40">
        <v>1</v>
      </c>
    </row>
    <row r="41" spans="6:7">
      <c r="F41" t="s">
        <v>190</v>
      </c>
      <c r="G41">
        <v>1</v>
      </c>
    </row>
    <row r="42" spans="6:7">
      <c r="F42" t="s">
        <v>191</v>
      </c>
      <c r="G42">
        <v>1</v>
      </c>
    </row>
    <row r="43" spans="6:7">
      <c r="F43" t="s">
        <v>192</v>
      </c>
      <c r="G43">
        <v>1</v>
      </c>
    </row>
    <row r="44" spans="6:7">
      <c r="F44" t="s">
        <v>193</v>
      </c>
      <c r="G44">
        <v>1</v>
      </c>
    </row>
    <row r="45" spans="6:7">
      <c r="F45" t="s">
        <v>122</v>
      </c>
      <c r="G45">
        <v>1</v>
      </c>
    </row>
    <row r="46" spans="6:7">
      <c r="F46" t="s">
        <v>194</v>
      </c>
      <c r="G46">
        <v>1</v>
      </c>
    </row>
    <row r="47" spans="6:7">
      <c r="F47" t="s">
        <v>146</v>
      </c>
      <c r="G47">
        <v>1</v>
      </c>
    </row>
    <row r="48" spans="6:7">
      <c r="F48" t="s">
        <v>126</v>
      </c>
      <c r="G48">
        <v>1</v>
      </c>
    </row>
    <row r="49" spans="6:7">
      <c r="F49" t="s">
        <v>195</v>
      </c>
      <c r="G49">
        <v>1</v>
      </c>
    </row>
    <row r="50" spans="6:7">
      <c r="F50" t="s">
        <v>196</v>
      </c>
      <c r="G50">
        <v>1</v>
      </c>
    </row>
    <row r="51" spans="6:7">
      <c r="F51" t="s">
        <v>197</v>
      </c>
      <c r="G51">
        <v>1</v>
      </c>
    </row>
    <row r="52" spans="6:7">
      <c r="F52" t="s">
        <v>198</v>
      </c>
      <c r="G52">
        <v>1</v>
      </c>
    </row>
    <row r="53" spans="6:7">
      <c r="F53" t="s">
        <v>199</v>
      </c>
      <c r="G53">
        <v>1</v>
      </c>
    </row>
    <row r="54" spans="6:7">
      <c r="F54" t="s">
        <v>200</v>
      </c>
      <c r="G54">
        <v>1</v>
      </c>
    </row>
    <row r="55" spans="6:7">
      <c r="F55" t="s">
        <v>201</v>
      </c>
      <c r="G55">
        <v>1</v>
      </c>
    </row>
    <row r="56" spans="6:7">
      <c r="F56" t="s">
        <v>202</v>
      </c>
      <c r="G56">
        <v>1</v>
      </c>
    </row>
    <row r="57" spans="6:7">
      <c r="F57" t="s">
        <v>203</v>
      </c>
      <c r="G57">
        <v>1</v>
      </c>
    </row>
    <row r="58" spans="6:7">
      <c r="F58" t="s">
        <v>204</v>
      </c>
      <c r="G58">
        <v>1</v>
      </c>
    </row>
    <row r="59" spans="6:7">
      <c r="F59" t="s">
        <v>205</v>
      </c>
      <c r="G59">
        <v>1</v>
      </c>
    </row>
    <row r="60" spans="6:7">
      <c r="F60" t="s">
        <v>206</v>
      </c>
      <c r="G60">
        <v>1</v>
      </c>
    </row>
    <row r="61" spans="6:7">
      <c r="F61" t="s">
        <v>207</v>
      </c>
      <c r="G61">
        <v>1</v>
      </c>
    </row>
    <row r="62" spans="6:7">
      <c r="F62" t="s">
        <v>208</v>
      </c>
      <c r="G62">
        <v>1</v>
      </c>
    </row>
    <row r="63" spans="6:7">
      <c r="F63" t="s">
        <v>209</v>
      </c>
      <c r="G63">
        <v>1</v>
      </c>
    </row>
    <row r="64" spans="6:7">
      <c r="F64" t="s">
        <v>210</v>
      </c>
      <c r="G64">
        <v>1</v>
      </c>
    </row>
    <row r="65" spans="5:7">
      <c r="F65" t="s">
        <v>135</v>
      </c>
      <c r="G65">
        <v>1</v>
      </c>
    </row>
    <row r="66" spans="5:7">
      <c r="F66" t="s">
        <v>211</v>
      </c>
      <c r="G66">
        <v>1</v>
      </c>
    </row>
    <row r="67" spans="5:7">
      <c r="E67" t="s">
        <v>212</v>
      </c>
      <c r="G67">
        <v>62</v>
      </c>
    </row>
    <row r="68" spans="5:7">
      <c r="E68" t="s">
        <v>19</v>
      </c>
      <c r="F68" t="s">
        <v>213</v>
      </c>
      <c r="G68">
        <v>1</v>
      </c>
    </row>
    <row r="69" spans="5:7">
      <c r="F69" t="s">
        <v>214</v>
      </c>
      <c r="G69">
        <v>1</v>
      </c>
    </row>
    <row r="70" spans="5:7">
      <c r="F70" t="s">
        <v>215</v>
      </c>
      <c r="G70">
        <v>1</v>
      </c>
    </row>
    <row r="71" spans="5:7">
      <c r="E71" t="s">
        <v>216</v>
      </c>
      <c r="G71">
        <v>3</v>
      </c>
    </row>
    <row r="72" spans="5:7">
      <c r="E72" t="s">
        <v>37</v>
      </c>
      <c r="F72" t="s">
        <v>217</v>
      </c>
      <c r="G72">
        <v>1</v>
      </c>
    </row>
    <row r="73" spans="5:7">
      <c r="F73" t="s">
        <v>218</v>
      </c>
      <c r="G73">
        <v>1</v>
      </c>
    </row>
    <row r="74" spans="5:7">
      <c r="F74" t="s">
        <v>219</v>
      </c>
      <c r="G74">
        <v>1</v>
      </c>
    </row>
    <row r="75" spans="5:7">
      <c r="F75" t="s">
        <v>108</v>
      </c>
      <c r="G75">
        <v>1</v>
      </c>
    </row>
    <row r="76" spans="5:7">
      <c r="F76" t="s">
        <v>119</v>
      </c>
      <c r="G76">
        <v>1</v>
      </c>
    </row>
    <row r="77" spans="5:7">
      <c r="F77" t="s">
        <v>220</v>
      </c>
      <c r="G77">
        <v>1</v>
      </c>
    </row>
    <row r="78" spans="5:7">
      <c r="F78" t="s">
        <v>130</v>
      </c>
      <c r="G78">
        <v>1</v>
      </c>
    </row>
    <row r="79" spans="5:7">
      <c r="F79" t="s">
        <v>221</v>
      </c>
      <c r="G79">
        <v>1</v>
      </c>
    </row>
    <row r="80" spans="5:7">
      <c r="E80" t="s">
        <v>222</v>
      </c>
      <c r="G80">
        <v>8</v>
      </c>
    </row>
    <row r="81" spans="5:7">
      <c r="E81" t="s">
        <v>29</v>
      </c>
      <c r="F81" t="s">
        <v>223</v>
      </c>
      <c r="G81">
        <v>1</v>
      </c>
    </row>
    <row r="82" spans="5:7">
      <c r="F82" t="s">
        <v>224</v>
      </c>
      <c r="G82">
        <v>1</v>
      </c>
    </row>
    <row r="83" spans="5:7">
      <c r="F83" t="s">
        <v>225</v>
      </c>
      <c r="G83">
        <v>1</v>
      </c>
    </row>
    <row r="84" spans="5:7">
      <c r="F84" t="s">
        <v>226</v>
      </c>
      <c r="G84">
        <v>1</v>
      </c>
    </row>
    <row r="85" spans="5:7">
      <c r="F85" t="s">
        <v>227</v>
      </c>
      <c r="G85">
        <v>1</v>
      </c>
    </row>
    <row r="86" spans="5:7">
      <c r="F86" t="s">
        <v>228</v>
      </c>
      <c r="G86">
        <v>1</v>
      </c>
    </row>
    <row r="87" spans="5:7">
      <c r="F87" t="s">
        <v>229</v>
      </c>
      <c r="G87">
        <v>1</v>
      </c>
    </row>
    <row r="88" spans="5:7">
      <c r="F88" t="s">
        <v>230</v>
      </c>
      <c r="G88">
        <v>1</v>
      </c>
    </row>
    <row r="89" spans="5:7">
      <c r="F89" t="s">
        <v>231</v>
      </c>
      <c r="G89">
        <v>1</v>
      </c>
    </row>
    <row r="90" spans="5:7">
      <c r="F90" t="s">
        <v>232</v>
      </c>
      <c r="G90">
        <v>1</v>
      </c>
    </row>
    <row r="91" spans="5:7">
      <c r="E91" t="s">
        <v>233</v>
      </c>
      <c r="G91">
        <v>10</v>
      </c>
    </row>
    <row r="92" spans="5:7">
      <c r="E92" t="s">
        <v>15</v>
      </c>
      <c r="F92" t="s">
        <v>234</v>
      </c>
      <c r="G92">
        <v>1</v>
      </c>
    </row>
    <row r="93" spans="5:7">
      <c r="F93" t="s">
        <v>235</v>
      </c>
      <c r="G93">
        <v>1</v>
      </c>
    </row>
    <row r="94" spans="5:7">
      <c r="F94" t="s">
        <v>236</v>
      </c>
      <c r="G94">
        <v>1</v>
      </c>
    </row>
    <row r="95" spans="5:7">
      <c r="F95" t="s">
        <v>237</v>
      </c>
      <c r="G95">
        <v>1</v>
      </c>
    </row>
    <row r="96" spans="5:7">
      <c r="F96" t="s">
        <v>238</v>
      </c>
      <c r="G96">
        <v>1</v>
      </c>
    </row>
    <row r="97" spans="5:7">
      <c r="F97" t="s">
        <v>239</v>
      </c>
      <c r="G97">
        <v>1</v>
      </c>
    </row>
    <row r="98" spans="5:7">
      <c r="F98" t="s">
        <v>240</v>
      </c>
      <c r="G98">
        <v>1</v>
      </c>
    </row>
    <row r="99" spans="5:7">
      <c r="E99" t="s">
        <v>241</v>
      </c>
      <c r="G99">
        <v>7</v>
      </c>
    </row>
    <row r="100" spans="5:7">
      <c r="E100" t="s">
        <v>40</v>
      </c>
      <c r="F100" t="s">
        <v>242</v>
      </c>
      <c r="G100">
        <v>1</v>
      </c>
    </row>
    <row r="101" spans="5:7">
      <c r="F101" t="s">
        <v>243</v>
      </c>
      <c r="G101">
        <v>1</v>
      </c>
    </row>
    <row r="102" spans="5:7">
      <c r="F102" t="s">
        <v>244</v>
      </c>
      <c r="G102">
        <v>1</v>
      </c>
    </row>
    <row r="103" spans="5:7">
      <c r="F103" t="s">
        <v>245</v>
      </c>
      <c r="G103">
        <v>1</v>
      </c>
    </row>
    <row r="104" spans="5:7">
      <c r="F104" t="s">
        <v>246</v>
      </c>
      <c r="G104">
        <v>1</v>
      </c>
    </row>
    <row r="105" spans="5:7">
      <c r="F105" t="s">
        <v>247</v>
      </c>
      <c r="G105">
        <v>1</v>
      </c>
    </row>
    <row r="106" spans="5:7">
      <c r="F106" t="s">
        <v>248</v>
      </c>
      <c r="G106">
        <v>1</v>
      </c>
    </row>
    <row r="107" spans="5:7">
      <c r="F107" t="s">
        <v>249</v>
      </c>
      <c r="G107">
        <v>1</v>
      </c>
    </row>
    <row r="108" spans="5:7">
      <c r="F108" t="s">
        <v>250</v>
      </c>
      <c r="G108">
        <v>1</v>
      </c>
    </row>
    <row r="109" spans="5:7">
      <c r="F109" t="s">
        <v>98</v>
      </c>
      <c r="G109">
        <v>1</v>
      </c>
    </row>
    <row r="110" spans="5:7">
      <c r="F110" t="s">
        <v>251</v>
      </c>
      <c r="G110">
        <v>1</v>
      </c>
    </row>
    <row r="111" spans="5:7">
      <c r="F111" t="s">
        <v>131</v>
      </c>
      <c r="G111">
        <v>1</v>
      </c>
    </row>
    <row r="112" spans="5:7">
      <c r="F112" t="s">
        <v>252</v>
      </c>
      <c r="G112">
        <v>1</v>
      </c>
    </row>
    <row r="113" spans="5:7">
      <c r="F113" t="s">
        <v>253</v>
      </c>
      <c r="G113">
        <v>1</v>
      </c>
    </row>
    <row r="114" spans="5:7">
      <c r="F114" t="s">
        <v>138</v>
      </c>
      <c r="G114">
        <v>1</v>
      </c>
    </row>
    <row r="115" spans="5:7">
      <c r="F115" t="s">
        <v>143</v>
      </c>
      <c r="G115">
        <v>1</v>
      </c>
    </row>
    <row r="116" spans="5:7">
      <c r="E116" t="s">
        <v>254</v>
      </c>
      <c r="G116">
        <v>16</v>
      </c>
    </row>
    <row r="117" spans="5:7">
      <c r="E117" t="s">
        <v>11</v>
      </c>
      <c r="F117" t="s">
        <v>255</v>
      </c>
      <c r="G117">
        <v>1</v>
      </c>
    </row>
    <row r="118" spans="5:7">
      <c r="F118" t="s">
        <v>256</v>
      </c>
      <c r="G118">
        <v>1</v>
      </c>
    </row>
    <row r="119" spans="5:7">
      <c r="E119" t="s">
        <v>257</v>
      </c>
      <c r="G119">
        <v>2</v>
      </c>
    </row>
    <row r="120" spans="5:7">
      <c r="E120" t="s">
        <v>258</v>
      </c>
      <c r="F120" t="s">
        <v>258</v>
      </c>
    </row>
    <row r="121" spans="5:7">
      <c r="E121" t="s">
        <v>259</v>
      </c>
    </row>
    <row r="122" spans="5:7">
      <c r="E122" t="s">
        <v>22</v>
      </c>
      <c r="F122" t="s">
        <v>260</v>
      </c>
      <c r="G122">
        <v>1</v>
      </c>
    </row>
    <row r="123" spans="5:7">
      <c r="F123" t="s">
        <v>62</v>
      </c>
      <c r="G123">
        <v>1</v>
      </c>
    </row>
    <row r="124" spans="5:7">
      <c r="F124" t="s">
        <v>93</v>
      </c>
      <c r="G124">
        <v>1</v>
      </c>
    </row>
    <row r="125" spans="5:7">
      <c r="F125" t="s">
        <v>261</v>
      </c>
      <c r="G125">
        <v>1</v>
      </c>
    </row>
    <row r="126" spans="5:7">
      <c r="F126" t="s">
        <v>113</v>
      </c>
      <c r="G126">
        <v>1</v>
      </c>
    </row>
    <row r="127" spans="5:7">
      <c r="F127" t="s">
        <v>262</v>
      </c>
      <c r="G127">
        <v>1</v>
      </c>
    </row>
    <row r="128" spans="5:7">
      <c r="F128" t="s">
        <v>263</v>
      </c>
      <c r="G128">
        <v>1</v>
      </c>
    </row>
    <row r="129" spans="5:7">
      <c r="E129" t="s">
        <v>264</v>
      </c>
      <c r="G129">
        <v>7</v>
      </c>
    </row>
    <row r="130" spans="5:7">
      <c r="E130" t="s">
        <v>166</v>
      </c>
      <c r="G130">
        <v>115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4"/>
  <sheetViews>
    <sheetView zoomScale="85" zoomScaleNormal="85" workbookViewId="0">
      <selection activeCell="D24" sqref="D23:D24"/>
    </sheetView>
  </sheetViews>
  <sheetFormatPr defaultColWidth="11" defaultRowHeight="15.95"/>
  <cols>
    <col min="1" max="1" width="27.375" bestFit="1" customWidth="1"/>
    <col min="2" max="2" width="25.125" bestFit="1" customWidth="1"/>
    <col min="3" max="3" width="87.375" bestFit="1" customWidth="1"/>
    <col min="4" max="4" width="187.125" bestFit="1" customWidth="1"/>
  </cols>
  <sheetData>
    <row r="1" spans="1:4">
      <c r="A1" s="1" t="s">
        <v>6</v>
      </c>
      <c r="B1" s="1" t="s">
        <v>265</v>
      </c>
      <c r="C1" s="1" t="s">
        <v>8</v>
      </c>
      <c r="D1" s="1" t="s">
        <v>9</v>
      </c>
    </row>
    <row r="2" spans="1:4">
      <c r="A2" t="s">
        <v>32</v>
      </c>
      <c r="B2" t="s">
        <v>266</v>
      </c>
      <c r="C2" t="s">
        <v>34</v>
      </c>
      <c r="D2" s="4" t="s">
        <v>35</v>
      </c>
    </row>
    <row r="3" spans="1:4">
      <c r="A3" t="s">
        <v>21</v>
      </c>
      <c r="B3" t="s">
        <v>22</v>
      </c>
      <c r="C3" t="s">
        <v>23</v>
      </c>
      <c r="D3" s="4" t="s">
        <v>24</v>
      </c>
    </row>
    <row r="4" spans="1:4">
      <c r="A4" t="s">
        <v>10</v>
      </c>
      <c r="B4" t="s">
        <v>11</v>
      </c>
      <c r="C4" t="s">
        <v>12</v>
      </c>
      <c r="D4" s="5" t="s">
        <v>13</v>
      </c>
    </row>
    <row r="5" spans="1:4">
      <c r="A5" t="s">
        <v>36</v>
      </c>
      <c r="B5" t="s">
        <v>37</v>
      </c>
      <c r="C5" t="s">
        <v>267</v>
      </c>
      <c r="D5" s="6" t="s">
        <v>268</v>
      </c>
    </row>
    <row r="6" spans="1:4">
      <c r="A6" t="s">
        <v>25</v>
      </c>
      <c r="B6" t="s">
        <v>26</v>
      </c>
      <c r="C6" t="s">
        <v>152</v>
      </c>
      <c r="D6" s="7" t="s">
        <v>153</v>
      </c>
    </row>
    <row r="7" spans="1:4">
      <c r="A7" t="s">
        <v>14</v>
      </c>
      <c r="B7" t="s">
        <v>15</v>
      </c>
      <c r="C7" t="s">
        <v>16</v>
      </c>
      <c r="D7" s="7" t="s">
        <v>153</v>
      </c>
    </row>
    <row r="8" spans="1:4">
      <c r="A8" t="s">
        <v>39</v>
      </c>
      <c r="B8" t="s">
        <v>40</v>
      </c>
      <c r="C8" t="s">
        <v>41</v>
      </c>
      <c r="D8" s="6" t="s">
        <v>268</v>
      </c>
    </row>
    <row r="9" spans="1:4">
      <c r="A9" t="s">
        <v>28</v>
      </c>
      <c r="B9" t="s">
        <v>29</v>
      </c>
      <c r="C9" t="s">
        <v>30</v>
      </c>
      <c r="D9" s="6" t="s">
        <v>268</v>
      </c>
    </row>
    <row r="10" spans="1:4">
      <c r="A10" t="s">
        <v>18</v>
      </c>
      <c r="B10" t="s">
        <v>19</v>
      </c>
      <c r="C10" t="s">
        <v>20</v>
      </c>
      <c r="D10" s="7" t="s">
        <v>153</v>
      </c>
    </row>
    <row r="13" spans="1:4">
      <c r="D13" s="3"/>
    </row>
    <row r="15" spans="1:4">
      <c r="A15" s="3"/>
    </row>
    <row r="24" spans="1:1">
      <c r="A24" s="3"/>
    </row>
  </sheetData>
  <autoFilter ref="A2:D10" xr:uid="{00000000-0001-0000-0100-000000000000}"/>
  <dataConsolidate/>
  <conditionalFormatting sqref="A1:D1">
    <cfRule type="containsText" dxfId="3" priority="1" operator="containsText" text="Develop in Role">
      <formula>NOT(ISERROR(SEARCH("Develop in Role",A1)))</formula>
    </cfRule>
    <cfRule type="containsText" dxfId="2" priority="2" stopIfTrue="1" operator="containsText" text="Make a Plan">
      <formula>NOT(ISERROR(SEARCH("Make a Plan",A1)))</formula>
    </cfRule>
    <cfRule type="containsText" dxfId="1" priority="3" operator="containsText" text="Evaluate Fit ">
      <formula>NOT(ISERROR(SEARCH("Evaluate Fit ",A1)))</formula>
    </cfRule>
    <cfRule type="containsText" dxfId="0" priority="4" operator="containsText" text="Differentially Invest">
      <formula>NOT(ISERROR(SEARCH("Differentially Invest",A1)))</formula>
    </cfRule>
  </conditionalFormatting>
  <pageMargins left="0.7" right="0.7" top="0.75" bottom="0.75" header="0.3" footer="0.3"/>
  <pageSetup orientation="portrait"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A53991C-1C6B-4B1F-A70A-9522EB1B2C6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Piya Kishore</dc:creator>
  <cp:keywords/>
  <dc:description/>
  <cp:lastModifiedBy/>
  <cp:revision/>
  <dcterms:created xsi:type="dcterms:W3CDTF">2025-11-02T00:46:47Z</dcterms:created>
  <dcterms:modified xsi:type="dcterms:W3CDTF">2025-12-02T17:35:58Z</dcterms:modified>
  <cp:category/>
  <cp:contentStatus/>
</cp:coreProperties>
</file>