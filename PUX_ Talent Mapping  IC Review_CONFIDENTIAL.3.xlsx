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namedSheetViews/namedSheetView1.xml" ContentType="application/vnd.ms-excel.namedsheetview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Git_Repos\9boxer\"/>
    </mc:Choice>
  </mc:AlternateContent>
  <xr:revisionPtr revIDLastSave="0" documentId="8_{B11568AD-CB28-4528-83ED-7D269C622F1A}" xr6:coauthVersionLast="47" xr6:coauthVersionMax="47" xr10:uidLastSave="{00000000-0000-0000-0000-000000000000}"/>
  <bookViews>
    <workbookView xWindow="-110" yWindow="-110" windowWidth="25180" windowHeight="16140" firstSheet="1" activeTab="1" xr2:uid="{00000000-000D-0000-FFFF-FFFF00000000}"/>
  </bookViews>
  <sheets>
    <sheet name="Definitions &amp; Instructions" sheetId="4" r:id="rId1"/>
    <sheet name="PUX ICs" sheetId="1" r:id="rId2"/>
    <sheet name="Excel Table (Do Not Format)" sheetId="2" state="hidden" r:id="rId3"/>
    <sheet name="Pivot" sheetId="6" r:id="rId4"/>
  </sheets>
  <definedNames>
    <definedName name="_xlnm._FilterDatabase" localSheetId="0" hidden="1">'Definitions &amp; Instructions'!$A$11:$D$11</definedName>
    <definedName name="_xlnm._FilterDatabase" localSheetId="2" hidden="1">'Excel Table (Do Not Format)'!$A$2:$D$10</definedName>
    <definedName name="_xlnm._FilterDatabase" localSheetId="1" hidden="1">'PUX ICs'!$A$1:$X$93</definedName>
    <definedName name="Yes">'PUX ICs'!$T$2</definedName>
  </definedNames>
  <calcPr calcId="191028"/>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6" i="1" l="1"/>
  <c r="R20" i="1"/>
  <c r="R64" i="1"/>
  <c r="N88" i="1" a="1"/>
  <c r="N88" i="1" s="1"/>
  <c r="N86" i="1" a="1"/>
  <c r="N86" i="1" s="1"/>
  <c r="P3" i="1"/>
  <c r="Q3" i="1"/>
  <c r="R3" i="1"/>
  <c r="P4" i="1"/>
  <c r="Q4" i="1"/>
  <c r="R4" i="1"/>
  <c r="P5" i="1"/>
  <c r="Q5" i="1"/>
  <c r="R5" i="1"/>
  <c r="P6" i="1"/>
  <c r="Q6" i="1"/>
  <c r="R6" i="1"/>
  <c r="P7" i="1"/>
  <c r="Q7" i="1"/>
  <c r="R7" i="1"/>
  <c r="P8" i="1"/>
  <c r="Q8" i="1"/>
  <c r="R8" i="1"/>
  <c r="P9" i="1"/>
  <c r="Q9" i="1"/>
  <c r="R9" i="1"/>
  <c r="P10" i="1"/>
  <c r="Q10" i="1"/>
  <c r="R10" i="1"/>
  <c r="P11" i="1"/>
  <c r="Q11" i="1"/>
  <c r="R11" i="1"/>
  <c r="P12" i="1"/>
  <c r="Q12" i="1"/>
  <c r="R12" i="1"/>
  <c r="P13" i="1"/>
  <c r="Q13" i="1"/>
  <c r="R13" i="1"/>
  <c r="P14" i="1"/>
  <c r="Q14" i="1"/>
  <c r="R14" i="1"/>
  <c r="P15" i="1"/>
  <c r="Q15" i="1"/>
  <c r="R15" i="1"/>
  <c r="P16" i="1"/>
  <c r="Q16" i="1"/>
  <c r="R16" i="1"/>
  <c r="P17" i="1"/>
  <c r="Q17" i="1"/>
  <c r="R17" i="1"/>
  <c r="P18" i="1"/>
  <c r="Q18" i="1"/>
  <c r="R18" i="1"/>
  <c r="P19" i="1"/>
  <c r="Q19" i="1"/>
  <c r="R19" i="1"/>
  <c r="P20" i="1"/>
  <c r="Q20" i="1"/>
  <c r="P21" i="1"/>
  <c r="Q21" i="1"/>
  <c r="R21" i="1"/>
  <c r="P22" i="1"/>
  <c r="Q22" i="1"/>
  <c r="R22" i="1"/>
  <c r="P23" i="1"/>
  <c r="Q23" i="1"/>
  <c r="R23" i="1"/>
  <c r="P24" i="1"/>
  <c r="Q24" i="1"/>
  <c r="R24" i="1"/>
  <c r="P25" i="1"/>
  <c r="Q25" i="1"/>
  <c r="R25" i="1"/>
  <c r="P26" i="1"/>
  <c r="Q26" i="1"/>
  <c r="P27" i="1"/>
  <c r="Q27" i="1"/>
  <c r="R27" i="1"/>
  <c r="P28" i="1"/>
  <c r="Q28" i="1"/>
  <c r="R28" i="1"/>
  <c r="P29" i="1"/>
  <c r="Q29" i="1"/>
  <c r="R29" i="1"/>
  <c r="P30" i="1"/>
  <c r="Q30" i="1"/>
  <c r="R30" i="1"/>
  <c r="P31" i="1"/>
  <c r="Q31" i="1"/>
  <c r="R31" i="1"/>
  <c r="P32" i="1"/>
  <c r="Q32" i="1"/>
  <c r="R32" i="1"/>
  <c r="P33" i="1"/>
  <c r="Q33" i="1"/>
  <c r="R33" i="1"/>
  <c r="P34" i="1"/>
  <c r="Q34" i="1"/>
  <c r="R34" i="1"/>
  <c r="P35" i="1"/>
  <c r="Q35" i="1"/>
  <c r="R35" i="1"/>
  <c r="P36" i="1"/>
  <c r="Q36" i="1"/>
  <c r="R36" i="1"/>
  <c r="P37" i="1"/>
  <c r="Q37" i="1"/>
  <c r="R37" i="1"/>
  <c r="P38" i="1"/>
  <c r="Q38" i="1"/>
  <c r="R38" i="1"/>
  <c r="P39" i="1"/>
  <c r="Q39" i="1"/>
  <c r="R39" i="1"/>
  <c r="P40" i="1"/>
  <c r="Q40" i="1"/>
  <c r="R40" i="1"/>
  <c r="P41" i="1"/>
  <c r="Q41" i="1"/>
  <c r="R41" i="1"/>
  <c r="P42" i="1"/>
  <c r="Q42" i="1"/>
  <c r="R42" i="1"/>
  <c r="P43" i="1"/>
  <c r="Q43" i="1"/>
  <c r="R43" i="1"/>
  <c r="P44" i="1"/>
  <c r="Q44" i="1"/>
  <c r="R44" i="1"/>
  <c r="P45" i="1"/>
  <c r="Q45" i="1"/>
  <c r="R45" i="1"/>
  <c r="P46" i="1"/>
  <c r="Q46" i="1"/>
  <c r="R46" i="1"/>
  <c r="P47" i="1"/>
  <c r="Q47" i="1"/>
  <c r="R47" i="1"/>
  <c r="P48" i="1"/>
  <c r="Q48" i="1"/>
  <c r="R48" i="1"/>
  <c r="P49" i="1"/>
  <c r="Q49" i="1"/>
  <c r="R49" i="1"/>
  <c r="P50" i="1"/>
  <c r="Q50" i="1"/>
  <c r="R50" i="1"/>
  <c r="P51" i="1"/>
  <c r="Q51" i="1"/>
  <c r="R51" i="1"/>
  <c r="P52" i="1"/>
  <c r="Q52" i="1"/>
  <c r="R52" i="1"/>
  <c r="P53" i="1"/>
  <c r="Q53" i="1"/>
  <c r="R53" i="1"/>
  <c r="P54" i="1"/>
  <c r="Q54" i="1"/>
  <c r="R54" i="1"/>
  <c r="P55" i="1"/>
  <c r="Q55" i="1"/>
  <c r="R55" i="1"/>
  <c r="P56" i="1"/>
  <c r="Q56" i="1"/>
  <c r="R56" i="1"/>
  <c r="P57" i="1"/>
  <c r="Q57" i="1"/>
  <c r="R57" i="1"/>
  <c r="P58" i="1"/>
  <c r="Q58" i="1"/>
  <c r="R58" i="1"/>
  <c r="P59" i="1"/>
  <c r="Q59" i="1"/>
  <c r="R59" i="1"/>
  <c r="P60" i="1"/>
  <c r="Q60" i="1"/>
  <c r="R60" i="1"/>
  <c r="P61" i="1"/>
  <c r="Q61" i="1"/>
  <c r="R61" i="1"/>
  <c r="P62" i="1"/>
  <c r="Q62" i="1"/>
  <c r="R62" i="1"/>
  <c r="P63" i="1"/>
  <c r="Q63" i="1"/>
  <c r="R63" i="1"/>
  <c r="P64" i="1"/>
  <c r="Q64" i="1"/>
  <c r="P65" i="1"/>
  <c r="Q65" i="1"/>
  <c r="R65" i="1"/>
  <c r="P66" i="1"/>
  <c r="Q66" i="1"/>
  <c r="R66" i="1"/>
  <c r="P67" i="1"/>
  <c r="Q67" i="1"/>
  <c r="R67" i="1"/>
  <c r="P68" i="1"/>
  <c r="Q68" i="1"/>
  <c r="R68" i="1"/>
  <c r="P69" i="1"/>
  <c r="Q69" i="1"/>
  <c r="R69" i="1"/>
  <c r="P70" i="1"/>
  <c r="Q70" i="1"/>
  <c r="R70" i="1"/>
  <c r="P71" i="1"/>
  <c r="Q71" i="1"/>
  <c r="R71" i="1"/>
  <c r="P72" i="1"/>
  <c r="Q72" i="1"/>
  <c r="R72" i="1"/>
  <c r="P73" i="1"/>
  <c r="Q73" i="1"/>
  <c r="R73" i="1"/>
  <c r="P74" i="1"/>
  <c r="Q74" i="1"/>
  <c r="R74" i="1"/>
  <c r="P75" i="1"/>
  <c r="Q75" i="1"/>
  <c r="R75" i="1"/>
  <c r="P76" i="1"/>
  <c r="Q76" i="1"/>
  <c r="R76" i="1"/>
  <c r="P77" i="1"/>
  <c r="Q77" i="1"/>
  <c r="R77" i="1"/>
  <c r="P78" i="1"/>
  <c r="Q78" i="1"/>
  <c r="R78" i="1"/>
  <c r="P79" i="1"/>
  <c r="Q79" i="1"/>
  <c r="R79" i="1"/>
  <c r="P80" i="1"/>
  <c r="Q80" i="1"/>
  <c r="R80" i="1"/>
  <c r="P81" i="1"/>
  <c r="Q81" i="1"/>
  <c r="R81" i="1"/>
  <c r="P82" i="1"/>
  <c r="Q82" i="1"/>
  <c r="R82" i="1"/>
  <c r="P83" i="1"/>
  <c r="Q83" i="1"/>
  <c r="R83" i="1"/>
  <c r="P84" i="1"/>
  <c r="Q84" i="1"/>
  <c r="R84" i="1"/>
  <c r="P85" i="1"/>
  <c r="Q85" i="1"/>
  <c r="R85" i="1"/>
  <c r="P86" i="1"/>
  <c r="Q86" i="1"/>
  <c r="R86" i="1"/>
  <c r="P87" i="1"/>
  <c r="Q87" i="1"/>
  <c r="R87" i="1"/>
  <c r="P88" i="1"/>
  <c r="Q88" i="1"/>
  <c r="R88" i="1"/>
  <c r="P89" i="1"/>
  <c r="Q89" i="1"/>
  <c r="R89" i="1"/>
  <c r="P90" i="1"/>
  <c r="Q90" i="1"/>
  <c r="R90" i="1"/>
  <c r="P91" i="1"/>
  <c r="Q91" i="1"/>
  <c r="R91" i="1"/>
  <c r="P92" i="1"/>
  <c r="Q92" i="1"/>
  <c r="R92" i="1"/>
  <c r="P93" i="1"/>
  <c r="Q93" i="1"/>
  <c r="R93" i="1"/>
  <c r="N9" i="1" a="1"/>
  <c r="N9" i="1" s="1"/>
  <c r="N7" i="1" a="1"/>
  <c r="N7" i="1" s="1"/>
  <c r="N6" i="1" a="1"/>
  <c r="N6" i="1" s="1"/>
  <c r="N5" i="1" a="1"/>
  <c r="N5" i="1" s="1"/>
  <c r="N2" i="1" a="1"/>
  <c r="N2" i="1" s="1"/>
  <c r="N93" i="1" a="1"/>
  <c r="N93" i="1" s="1"/>
  <c r="N92" i="1" a="1"/>
  <c r="N92" i="1" s="1"/>
  <c r="N91" i="1" a="1"/>
  <c r="N91" i="1" s="1"/>
  <c r="N90" i="1" a="1"/>
  <c r="N90" i="1" s="1"/>
  <c r="N89" i="1" a="1"/>
  <c r="N89" i="1" s="1"/>
  <c r="N87" i="1" a="1"/>
  <c r="N87" i="1" s="1"/>
  <c r="N85" i="1" a="1"/>
  <c r="N85" i="1" s="1"/>
  <c r="N84" i="1" a="1"/>
  <c r="N84" i="1" s="1"/>
  <c r="N83" i="1" a="1"/>
  <c r="N83" i="1" s="1"/>
  <c r="N82" i="1" a="1"/>
  <c r="N82" i="1" s="1"/>
  <c r="N81" i="1" a="1"/>
  <c r="N81" i="1" s="1"/>
  <c r="N80" i="1" a="1"/>
  <c r="N80" i="1" s="1"/>
  <c r="N79" i="1" a="1"/>
  <c r="N79" i="1" s="1"/>
  <c r="N78" i="1" a="1"/>
  <c r="N78" i="1" s="1"/>
  <c r="N77" i="1" a="1"/>
  <c r="N77" i="1" s="1"/>
  <c r="N76" i="1" a="1"/>
  <c r="N76" i="1" s="1"/>
  <c r="N75" i="1" a="1"/>
  <c r="N75" i="1" s="1"/>
  <c r="N74" i="1" a="1"/>
  <c r="N74" i="1" s="1"/>
  <c r="N73" i="1" a="1"/>
  <c r="N73" i="1" s="1"/>
  <c r="N71" i="1" a="1"/>
  <c r="N71" i="1" s="1"/>
  <c r="N70" i="1" a="1"/>
  <c r="N70" i="1" s="1"/>
  <c r="N69" i="1" a="1"/>
  <c r="N69" i="1" s="1"/>
  <c r="N68" i="1" a="1"/>
  <c r="N68" i="1" s="1"/>
  <c r="N67" i="1" a="1"/>
  <c r="N67" i="1" s="1"/>
  <c r="N66" i="1" a="1"/>
  <c r="N66" i="1" s="1"/>
  <c r="N64" i="1" a="1"/>
  <c r="N64" i="1" s="1"/>
  <c r="N63" i="1" a="1"/>
  <c r="N63" i="1" s="1"/>
  <c r="N62" i="1" a="1"/>
  <c r="N62" i="1" s="1"/>
  <c r="N61" i="1" a="1"/>
  <c r="N61" i="1" s="1"/>
  <c r="N60" i="1" a="1"/>
  <c r="N60" i="1" s="1"/>
  <c r="N59" i="1" a="1"/>
  <c r="N59" i="1" s="1"/>
  <c r="N58" i="1" a="1"/>
  <c r="N58" i="1" s="1"/>
  <c r="N57" i="1" a="1"/>
  <c r="N57" i="1" s="1"/>
  <c r="N56" i="1" a="1"/>
  <c r="N56" i="1" s="1"/>
  <c r="N55" i="1" a="1"/>
  <c r="N55" i="1" s="1"/>
  <c r="N54" i="1" a="1"/>
  <c r="N54" i="1" s="1"/>
  <c r="N53" i="1" a="1"/>
  <c r="N53" i="1" s="1"/>
  <c r="N52" i="1" a="1"/>
  <c r="N52" i="1" s="1"/>
  <c r="N50" i="1" a="1"/>
  <c r="N50" i="1" s="1"/>
  <c r="N48" i="1" a="1"/>
  <c r="N48" i="1" s="1"/>
  <c r="N47" i="1" a="1"/>
  <c r="N47" i="1" s="1"/>
  <c r="N46" i="1" a="1"/>
  <c r="N46" i="1" s="1"/>
  <c r="N45" i="1" a="1"/>
  <c r="N45" i="1" s="1"/>
  <c r="N44" i="1" a="1"/>
  <c r="N44" i="1" s="1"/>
  <c r="N43" i="1" a="1"/>
  <c r="N43" i="1" s="1"/>
  <c r="N42" i="1" a="1"/>
  <c r="N42" i="1" s="1"/>
  <c r="N41" i="1" a="1"/>
  <c r="N41" i="1" s="1"/>
  <c r="N39" i="1" a="1"/>
  <c r="N39" i="1" s="1"/>
  <c r="N38" i="1" a="1"/>
  <c r="N38" i="1" s="1"/>
  <c r="N37" i="1" a="1"/>
  <c r="N37" i="1" s="1"/>
  <c r="N36" i="1" a="1"/>
  <c r="N36" i="1" s="1"/>
  <c r="N35" i="1" a="1"/>
  <c r="N35" i="1" s="1"/>
  <c r="N34" i="1" a="1"/>
  <c r="N34" i="1" s="1"/>
  <c r="N33" i="1" a="1"/>
  <c r="N33" i="1" s="1"/>
  <c r="N32" i="1" a="1"/>
  <c r="N32" i="1" s="1"/>
  <c r="N31" i="1" a="1"/>
  <c r="N31" i="1" s="1"/>
  <c r="N30" i="1" a="1"/>
  <c r="N30" i="1" s="1"/>
  <c r="N28" i="1" a="1"/>
  <c r="N28" i="1" s="1"/>
  <c r="N27" i="1" a="1"/>
  <c r="N27" i="1" s="1"/>
  <c r="N26" i="1" a="1"/>
  <c r="N26" i="1" s="1"/>
  <c r="N25" i="1" a="1"/>
  <c r="N25" i="1" s="1"/>
  <c r="N22" i="1" a="1"/>
  <c r="N22" i="1" s="1"/>
  <c r="N21" i="1" a="1"/>
  <c r="N21" i="1" s="1"/>
  <c r="N19" i="1" a="1"/>
  <c r="N19" i="1" s="1"/>
  <c r="N18" i="1" a="1"/>
  <c r="N18" i="1" s="1"/>
  <c r="N17" i="1" a="1"/>
  <c r="N17" i="1" s="1"/>
  <c r="N4" i="1" a="1"/>
  <c r="N4" i="1" s="1"/>
  <c r="N24" i="1" a="1"/>
  <c r="N24" i="1" s="1"/>
  <c r="N23" i="1" a="1"/>
  <c r="N23" i="1" s="1"/>
  <c r="N13" i="1" a="1"/>
  <c r="N13" i="1" s="1"/>
  <c r="N12" i="1" a="1"/>
  <c r="N12" i="1" s="1"/>
  <c r="N11" i="1" a="1"/>
  <c r="N11" i="1" s="1"/>
  <c r="N10" i="1" a="1"/>
  <c r="N10" i="1" s="1"/>
  <c r="N20" i="1" a="1"/>
  <c r="N20" i="1" s="1"/>
  <c r="N15" i="1" a="1"/>
  <c r="N15" i="1" s="1"/>
  <c r="P2" i="1"/>
  <c r="R2" i="1"/>
  <c r="Q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<sst xmlns="http://schemas.openxmlformats.org/spreadsheetml/2006/main" count="1623" uniqueCount="392">
  <si>
    <t>Instructions:</t>
  </si>
  <si>
    <r>
      <rPr>
        <sz val="14"/>
        <color rgb="FF000000"/>
        <rFont val="Aptos Narrow"/>
      </rPr>
      <t xml:space="preserve">Note the most current trending rating from Aug 25,  for your </t>
    </r>
    <r>
      <rPr>
        <b/>
        <sz val="14"/>
        <color rgb="FF000000"/>
        <rFont val="Aptos Narrow"/>
      </rPr>
      <t>Employee in column L ,M, N (PLEASE DO NOT CHANGE)  .</t>
    </r>
    <r>
      <rPr>
        <sz val="14"/>
        <color rgb="FF000000"/>
        <rFont val="Aptos Narrow"/>
      </rPr>
      <t xml:space="preserve">  </t>
    </r>
    <r>
      <rPr>
        <b/>
        <sz val="14"/>
        <color rgb="FF000000"/>
        <rFont val="Aptos Narrow"/>
      </rPr>
      <t xml:space="preserve">Column O is  pre-seeded with Aug  25 Talent Assessment Mappings and will be discussed during PUX Calibration  Tues.Dec 2 , please modify based upon a combination of observations and feedback received . </t>
    </r>
  </si>
  <si>
    <r>
      <t xml:space="preserve">The columns </t>
    </r>
    <r>
      <rPr>
        <b/>
        <sz val="14"/>
        <color theme="1"/>
        <rFont val="Aptos Narrow"/>
        <family val="2"/>
        <scheme val="minor"/>
      </rPr>
      <t xml:space="preserve">M, N and O </t>
    </r>
    <r>
      <rPr>
        <sz val="14"/>
        <color theme="1"/>
        <rFont val="Aptos Narrow"/>
        <family val="2"/>
        <scheme val="minor"/>
      </rPr>
      <t>will auto-populate to help you decide if the performance vs the potential has been accurately plotted per the definitions.</t>
    </r>
  </si>
  <si>
    <t xml:space="preserve">Add notes on where you need support from the discussion or if you want to call out any feedback in advance of the discussion. For example: if someone new in role has been rated Strong or Needs Focus or will be presented for a promotion </t>
  </si>
  <si>
    <r>
      <rPr>
        <b/>
        <sz val="16"/>
        <color theme="1"/>
        <rFont val="Aptos Narrow (Body)"/>
      </rPr>
      <t>Performance:</t>
    </r>
    <r>
      <rPr>
        <sz val="12"/>
        <color theme="1"/>
        <rFont val="Aptos Narrow"/>
        <family val="2"/>
        <scheme val="minor"/>
      </rPr>
      <t xml:space="preserve"> Consistency and level of impact in current and past roles (Low / Medium / High).</t>
    </r>
  </si>
  <si>
    <r>
      <rPr>
        <b/>
        <sz val="16"/>
        <color theme="1"/>
        <rFont val="Aptos Narrow (Body)"/>
      </rPr>
      <t>Potential:</t>
    </r>
    <r>
      <rPr>
        <sz val="16"/>
        <color theme="1"/>
        <rFont val="Aptos Narrow (Body)"/>
      </rPr>
      <t xml:space="preserve"> </t>
    </r>
    <r>
      <rPr>
        <sz val="12"/>
        <color theme="1"/>
        <rFont val="Aptos Narrow"/>
        <family val="2"/>
        <scheme val="minor"/>
      </rPr>
      <t>Likelihood of success in more complex or senior roles (Low / Medium / High).</t>
    </r>
  </si>
  <si>
    <t xml:space="preserve">FY25 Talent Indicator </t>
  </si>
  <si>
    <t xml:space="preserve">Talent Mapping Position [Performance vs Potential] </t>
  </si>
  <si>
    <t xml:space="preserve">Development Focus </t>
  </si>
  <si>
    <t xml:space="preserve">Development Action </t>
  </si>
  <si>
    <t xml:space="preserve">1. Underperforming Talent </t>
  </si>
  <si>
    <t>Underperforming Talent [L,L]</t>
  </si>
  <si>
    <t xml:space="preserve">re-assign or manage out of Alteryx </t>
  </si>
  <si>
    <t xml:space="preserve">Make A Plan -  Identify a plan to improve performance in partnership with HR </t>
  </si>
  <si>
    <t xml:space="preserve">2. Solid Talent </t>
  </si>
  <si>
    <t>Solid Talent [M,L]</t>
  </si>
  <si>
    <t xml:space="preserve">consider expanding current role, explore lateral/development opportunities </t>
  </si>
  <si>
    <t xml:space="preserve">Develop in Role - Identify developmental activities to continue to grow their skill and set them up for success for anticipated progression </t>
  </si>
  <si>
    <t xml:space="preserve">3. Expert Talent </t>
  </si>
  <si>
    <t>Expert Talent [H,L]</t>
  </si>
  <si>
    <t xml:space="preserve">leverage experience to mentor and growth others </t>
  </si>
  <si>
    <t xml:space="preserve">4. Inconsistent Talent </t>
  </si>
  <si>
    <t>Inconsistent Talent [L,M]</t>
  </si>
  <si>
    <t xml:space="preserve">re-establish performance expectations in current role, drive performance and re-evaluate in 6-12 months </t>
  </si>
  <si>
    <t>Evaluate Fit/Make A Plan - Identify a coaching plan to improve performance</t>
  </si>
  <si>
    <t xml:space="preserve">5. Core Talent </t>
  </si>
  <si>
    <t>Core Talent [M,M]</t>
  </si>
  <si>
    <t>identify performance barriers, explore potential to expand responsibilities in current role and discuss career aspirations (ideally for talent new in role)</t>
  </si>
  <si>
    <t>6.High Impact Talent</t>
  </si>
  <si>
    <t>High Impact Talent [H,M]</t>
  </si>
  <si>
    <t>expand responsibilities in current role, identify key experiences and increase executive exposure</t>
  </si>
  <si>
    <t xml:space="preserve">Differentially Invest - Ensure career discussions are happening regularly? Do they have an individual development plan? What opportunities exist to accelerate development and growth? Revist talent often to plan for next steps. </t>
  </si>
  <si>
    <t xml:space="preserve">7. Emerging Talent/ Off-Track </t>
  </si>
  <si>
    <t>Emerging Talent /Off-track [L,H]</t>
  </si>
  <si>
    <t>drive performance in current role and re-evaluate in 6-12 months</t>
  </si>
  <si>
    <t>Evaluate Fit - What is causing them to underperform? Are they in the right role? Do they need a mentor and/or additional guidance?</t>
  </si>
  <si>
    <t xml:space="preserve">8. Growth Talent </t>
  </si>
  <si>
    <t>Growth Talent [M,H]</t>
  </si>
  <si>
    <t xml:space="preserve">identify performance barriers, explore potential to expand responsibilities in current role </t>
  </si>
  <si>
    <t xml:space="preserve">9.Top Talent </t>
  </si>
  <si>
    <t>Top Talent [H,H]</t>
  </si>
  <si>
    <t xml:space="preserve">identify stretch experiences or temporary assignments, increase executive exposure </t>
  </si>
  <si>
    <t>Employee ID</t>
  </si>
  <si>
    <t>Worker</t>
  </si>
  <si>
    <t>Business Title</t>
  </si>
  <si>
    <t>Job Title</t>
  </si>
  <si>
    <t>Job Profile</t>
  </si>
  <si>
    <t>Job Level - Primary Position</t>
  </si>
  <si>
    <t>Hire Date</t>
  </si>
  <si>
    <t>Tenure Category (Months)</t>
  </si>
  <si>
    <t>Time in Job Profile</t>
  </si>
  <si>
    <t>2023 Completed Performance Rating</t>
  </si>
  <si>
    <t>2024 Completed Performance Rating</t>
  </si>
  <si>
    <t>Aug 2025 Talent Assessment Performance</t>
  </si>
  <si>
    <t>Aug 2025  Talent Assessment Potential</t>
  </si>
  <si>
    <t>Aug 2025 Talent Assessment 9-Box Label</t>
  </si>
  <si>
    <t xml:space="preserve">Notes </t>
  </si>
  <si>
    <t xml:space="preserve">Promotion Readiness </t>
  </si>
  <si>
    <t>Worker's Manager</t>
  </si>
  <si>
    <t>Management Chain - Level 04</t>
  </si>
  <si>
    <t>Management Chain - Level 05</t>
  </si>
  <si>
    <t>Management Chain - Level 06</t>
  </si>
  <si>
    <t>Adam Neylon</t>
  </si>
  <si>
    <t>Principal Product Manager</t>
  </si>
  <si>
    <t>Principal, Product Management-USA</t>
  </si>
  <si>
    <t>PT5 - Principal</t>
  </si>
  <si>
    <t>3 - 5 Years</t>
  </si>
  <si>
    <t>1 year(s), 10 month(s), 11 day(s)</t>
  </si>
  <si>
    <t>Leading</t>
  </si>
  <si>
    <t>High</t>
  </si>
  <si>
    <t>Career discussion with Laura and Lindsey in November 2025; commitment to include in Laura's team leads group and requested to join December Offsite; In current position 1yr10mo</t>
  </si>
  <si>
    <t>Lindsey Zibell</t>
  </si>
  <si>
    <t>Laura Williams Argilla</t>
  </si>
  <si>
    <t>Adriana Rybarova</t>
  </si>
  <si>
    <t>Lead Product Designer</t>
  </si>
  <si>
    <t>Advanced Professional, UI/UX Designer-CZE</t>
  </si>
  <si>
    <t>PT4 - Advanced Professional</t>
  </si>
  <si>
    <t>0 - 3 Months</t>
  </si>
  <si>
    <t>0 year(s), 0 month(s), 14 day(s)</t>
  </si>
  <si>
    <t>Just hired.</t>
  </si>
  <si>
    <t>No</t>
  </si>
  <si>
    <t>Patrik Volek</t>
  </si>
  <si>
    <t>Elizabeth Benker</t>
  </si>
  <si>
    <t>Agnimitra Pathak</t>
  </si>
  <si>
    <t>Sr. UX Designer</t>
  </si>
  <si>
    <t>Sr. Professional, UI/UX Designer-IND</t>
  </si>
  <si>
    <t>PT3 - Sr. Professional</t>
  </si>
  <si>
    <t>3 year(s), 9 month(s), 12 day(s)</t>
  </si>
  <si>
    <t>Solid</t>
  </si>
  <si>
    <t>Strong</t>
  </si>
  <si>
    <t>Medium</t>
  </si>
  <si>
    <t>After the reorg, expressed clearly that he is looking for promotion and feels ready for quite some time already (in current role for 4+ years). Since then he showcased very thoughtful and proactive attitude to his projects, mentored and guided more junior members of the team. I'm confident he is ready for Lead position.</t>
  </si>
  <si>
    <t>Yes</t>
  </si>
  <si>
    <t>Aida Abbasi</t>
  </si>
  <si>
    <t>Senior Product Designer</t>
  </si>
  <si>
    <t>Sr. Professional, UI/UX Designer-AUS</t>
  </si>
  <si>
    <t>2 - 3 Years</t>
  </si>
  <si>
    <t>2 year(s), 10 month(s), 3 day(s)</t>
  </si>
  <si>
    <t>Will Hurley</t>
  </si>
  <si>
    <t>AKASH S</t>
  </si>
  <si>
    <t>Advanced Professional, UI/UX Designer-IND</t>
  </si>
  <si>
    <t>10 - 12 Months</t>
  </si>
  <si>
    <t>0 year(s), 3 month(s), 25 day(s)</t>
  </si>
  <si>
    <t>Low</t>
  </si>
  <si>
    <t>Alexandra Zelinskaya</t>
  </si>
  <si>
    <t>Lead UX Researcher</t>
  </si>
  <si>
    <t>Advanced Professional, UI/UX Researcher-USA</t>
  </si>
  <si>
    <t>1 year(s), 1 month(s), 21 day(s)</t>
  </si>
  <si>
    <t>Olga Ziegelman</t>
  </si>
  <si>
    <t>Erin Howard</t>
  </si>
  <si>
    <t>Alicia Beam</t>
  </si>
  <si>
    <t>Lead Research Operations Specialist</t>
  </si>
  <si>
    <t>0 year(s), 2 month(s), 25 day(s)</t>
  </si>
  <si>
    <t>Recent hire - showing high potential but too early to fully assess</t>
  </si>
  <si>
    <t>Andrew Lloyd</t>
  </si>
  <si>
    <t>Professional, Product Management</t>
  </si>
  <si>
    <t>Professional, Product Management-USA</t>
  </si>
  <si>
    <t>PT2 - Professional</t>
  </si>
  <si>
    <t>10 - 15 Years</t>
  </si>
  <si>
    <t>0 year(s), 3 month(s), 30 day(s)</t>
  </si>
  <si>
    <t>Andrew has improved, but it has not been self led and it has been slow velocity and lacking accountability, need tomove him to low performance making him in group 1 - underperforming talent</t>
  </si>
  <si>
    <t>Apurva Mathur</t>
  </si>
  <si>
    <t>Technical Writer</t>
  </si>
  <si>
    <t>Professional, Technical Writer-IND</t>
  </si>
  <si>
    <t>7 - 9 Months</t>
  </si>
  <si>
    <t>0 year(s), 9 month(s), 9 day(s)</t>
  </si>
  <si>
    <t>Marcela Abrach</t>
  </si>
  <si>
    <t>ARPIT VERMA</t>
  </si>
  <si>
    <t>0 year(s), 10 month(s), 20 day(s)</t>
  </si>
  <si>
    <t>Artem Pakhomov (Артём Пахомов)</t>
  </si>
  <si>
    <t>Professional, Product Management-UKR</t>
  </si>
  <si>
    <t>0 year(s), 0 month(s), 18 day(s)</t>
  </si>
  <si>
    <t xml:space="preserve">Time in Job Profile reflects title change from TPM to PM in November, and is not indicative of an actual recent job change. Has been in current role for almost 5 years. 
Francois is currently the manager but Nicole will complete talent mapping/performance reviews for 2026
Indicating promotion readiness - has been operating at a Sr. PM level for some time, taking ownership of a diverse range of issues and taking initiative on the newly formed Cloud Native team to address gaps and ensure projects continue moving forward even in the midst of change. His presence when reaching out to and speaking with customers is excellent, and he has been proactive in working with the CN team to align on various process changes and documentation requirements. Will be working on getting Artem more visibility across the org as a Sr. PM, and to continue focusing on the big picture and broader strategic thinking. </t>
  </si>
  <si>
    <t>Nicole Johnson (Francois Planet)</t>
  </si>
  <si>
    <t>Nicole Johnson</t>
  </si>
  <si>
    <t>Ashutosh Kumar</t>
  </si>
  <si>
    <t>Associate Data Analyst</t>
  </si>
  <si>
    <t>Associate Professional, Technical Product Management-IND</t>
  </si>
  <si>
    <t>PT1 - Associate Professional</t>
  </si>
  <si>
    <t>0 year(s), 4 month(s), 18 day(s)</t>
  </si>
  <si>
    <t>Hitesh Bakutra</t>
  </si>
  <si>
    <t>Baneen Bryan</t>
  </si>
  <si>
    <t>Product Designer</t>
  </si>
  <si>
    <t>Professional, UI/UX Designer-USA</t>
  </si>
  <si>
    <t>0 year(s), 1 month(s), 28 day(s)</t>
  </si>
  <si>
    <t>Yujia Zhao</t>
  </si>
  <si>
    <t>Becca Lemmons (On Leave)</t>
  </si>
  <si>
    <t>0 year(s), 5 month(s), 11 day(s)</t>
  </si>
  <si>
    <t>Chad Thompson</t>
  </si>
  <si>
    <t>Bob Fraser</t>
  </si>
  <si>
    <t>Principal, Product Management-GBR</t>
  </si>
  <si>
    <t>0 year(s), 0 month(s), 16 day(s)</t>
  </si>
  <si>
    <t>Tomáš Mitana</t>
  </si>
  <si>
    <t>Brad Shaw</t>
  </si>
  <si>
    <t>Lead Product Manager</t>
  </si>
  <si>
    <t>Advanced Professional, Product Management-AUS</t>
  </si>
  <si>
    <t>1 year(s), 2 month(s), 18 day(s)</t>
  </si>
  <si>
    <t>Robert D'Arrigo</t>
  </si>
  <si>
    <t>Bryan Chan</t>
  </si>
  <si>
    <t>1 year(s), 8 month(s), 16 day(s)</t>
  </si>
  <si>
    <t>Identified strengths and weaknesses at October Check In, needs significantly more exposure. Wrote a Plans vision strategy, need to get it presented. Could use a wider scope.</t>
  </si>
  <si>
    <t>Bryce Laird</t>
  </si>
  <si>
    <t>Sr. Principal, Product Management-USA</t>
  </si>
  <si>
    <t>PT6 - Sr. Principal</t>
  </si>
  <si>
    <t>5 - 10 Years</t>
  </si>
  <si>
    <t>0 year(s), 2 month(s), 18 day(s)</t>
  </si>
  <si>
    <t>Charles Ash</t>
  </si>
  <si>
    <t>4 year(s), 10 month(s), 18 day(s)</t>
  </si>
  <si>
    <t>Can produce solid designs against the requirements on time. Need to be more proactive.</t>
  </si>
  <si>
    <t>Chirag Dadheech</t>
  </si>
  <si>
    <t>Lead Product Insight Analyst</t>
  </si>
  <si>
    <t>Advanced Professional, Technical Product Management-IND</t>
  </si>
  <si>
    <t>David Cooperberg</t>
  </si>
  <si>
    <t>Advanced Professional, Product Management-USA</t>
  </si>
  <si>
    <t>1 year(s), 5 month(s), 10 day(s)</t>
  </si>
  <si>
    <t>Kate Butcher</t>
  </si>
  <si>
    <t>David Domagalski</t>
  </si>
  <si>
    <t>Advanced Professional, Technical Writer-USA</t>
  </si>
  <si>
    <t>David Skala</t>
  </si>
  <si>
    <t>Principal, Product Designer</t>
  </si>
  <si>
    <t>Principal, UI/UX Designer-CZE</t>
  </si>
  <si>
    <t>0 year(s), 8 month(s), 18 day(s)</t>
  </si>
  <si>
    <t xml:space="preserve">David is still getting used to Principal position and looking for the right way to have more impact. </t>
  </si>
  <si>
    <t>Dhiraj Sahu</t>
  </si>
  <si>
    <t>Senior Product Analyst</t>
  </si>
  <si>
    <t>Sr. Professional, Technical Product Management-IND</t>
  </si>
  <si>
    <t>13 - 18 Months</t>
  </si>
  <si>
    <t>1 year(s), 2 month(s), 17 day(s)</t>
  </si>
  <si>
    <t>Elad Idan</t>
  </si>
  <si>
    <t>Lead Pricing Manager</t>
  </si>
  <si>
    <t>Advanced Professional, Technical Program Management-USA</t>
  </si>
  <si>
    <t xml:space="preserve">Elad and I had a discussion about his career path. He has reached the limits of growth in PE. We aligned that he needs to explore a broader GTM architect role otuside of PE. Over the next 6 mos, I would like him to take ownership of adjacent areas such as what would it take to support In-app purchase in collaboration with the PE team and the broader GTM org etc. He is also going to take courses to train for such a role. </t>
  </si>
  <si>
    <t>Ani Worlikar</t>
  </si>
  <si>
    <t>Emily Davis (On Leave)</t>
  </si>
  <si>
    <t>4 year(s), 1 month(s), 12 day(s)</t>
  </si>
  <si>
    <t>Emily Turner</t>
  </si>
  <si>
    <t>Advanced Professional, UI/UX Designer-USA</t>
  </si>
  <si>
    <t>Gabe Keaveney</t>
  </si>
  <si>
    <t>Pricing Strategy Analyst</t>
  </si>
  <si>
    <t>Professional, Competitive Intelligence-USA</t>
  </si>
  <si>
    <t>Recent hire. Shows good potential. Continue to develop over the next 6 mos</t>
  </si>
  <si>
    <t>Gayatri Kakarlapudi</t>
  </si>
  <si>
    <t>Product Manager</t>
  </si>
  <si>
    <t>3 year(s), 5 month(s), 18 day(s)</t>
  </si>
  <si>
    <t>Rachel Howard</t>
  </si>
  <si>
    <t>Geoffrey Zath</t>
  </si>
  <si>
    <t>Sr. Professional, Technical Writer-USA</t>
  </si>
  <si>
    <t>0 year(s), 8 month(s), 17 day(s)</t>
  </si>
  <si>
    <t>Gita Ligure</t>
  </si>
  <si>
    <t>UI/UX Researcher</t>
  </si>
  <si>
    <t>Professional, UI/UX Researcher-USA</t>
  </si>
  <si>
    <t>0 year(s), 9 month(s), 1 day(s)</t>
  </si>
  <si>
    <t>Greg Filla (On Leave)</t>
  </si>
  <si>
    <t>1 year(s), 5 month(s), 18 day(s)</t>
  </si>
  <si>
    <t>Harsh Jiladiya</t>
  </si>
  <si>
    <t>Product Analyst</t>
  </si>
  <si>
    <t>Professional, Technical Product Management-IND</t>
  </si>
  <si>
    <t>0 year(s), 9 month(s), 0 day(s)</t>
  </si>
  <si>
    <t>HEMANTI PRADHAN</t>
  </si>
  <si>
    <t>0 year(s), 9 month(s), 30 day(s)</t>
  </si>
  <si>
    <t>Iryna Onishchuk (Ірина Оніщук)</t>
  </si>
  <si>
    <t>Sr. Product Delivery Program Manager</t>
  </si>
  <si>
    <t>Sr. Professional, Technical Program Management-CZE</t>
  </si>
  <si>
    <t>1 year(s), 8 month(s), 18 day(s)</t>
  </si>
  <si>
    <t>Has much potential with move to new CSIG team to advance with new responsbilities.</t>
  </si>
  <si>
    <t>Carolyn Blanco Losada</t>
  </si>
  <si>
    <t>Ishita Gandhi</t>
  </si>
  <si>
    <t>UX Copywriter</t>
  </si>
  <si>
    <t>Professional, UI/UX Designer-IND</t>
  </si>
  <si>
    <t>19 - 24 Months</t>
  </si>
  <si>
    <t>1 year(s), 8 month(s), 29 day(s)</t>
  </si>
  <si>
    <t>Jarrod Thuener</t>
  </si>
  <si>
    <t>Sr. Product Manager</t>
  </si>
  <si>
    <t>Sr. Professional, Product Management-USA</t>
  </si>
  <si>
    <t>2 year(s), 10 month(s), 16 day(s)</t>
  </si>
  <si>
    <t>JASON GAYLORD</t>
  </si>
  <si>
    <t>UX Researcher</t>
  </si>
  <si>
    <t>4 year(s), 1 month(s), 1 day(s)</t>
  </si>
  <si>
    <t>Has been operating at a senior level - supporting the Canvas pillar. Great soft skills, fantatsic team player, strong research skills. Strong positive feedback from other UXR, Design and PM on his work.</t>
  </si>
  <si>
    <t>Jay Shipley</t>
  </si>
  <si>
    <t>Sr. Principal Product Manager</t>
  </si>
  <si>
    <t>0 year(s), 1 month(s), 6 day(s)</t>
  </si>
  <si>
    <t>Jinju Hopkins (On Leave)</t>
  </si>
  <si>
    <t>Advanced Professional, UI/UX Designer-AUS</t>
  </si>
  <si>
    <t>2 year(s), 8 month(s), 18 day(s)</t>
  </si>
  <si>
    <t>Jiří Peroutka</t>
  </si>
  <si>
    <t>Sr. Professional, Product Management-CZE</t>
  </si>
  <si>
    <t>Joanna Hoge</t>
  </si>
  <si>
    <t>2 year(s), 8 month(s), 14 day(s)</t>
  </si>
  <si>
    <t>Will be on hold for a while goes on Maternity leave in February (performing as expected for P4 but has things to work on, not ready for P5)</t>
  </si>
  <si>
    <t>Katie Fiscus</t>
  </si>
  <si>
    <t>Joe Repucci</t>
  </si>
  <si>
    <t>0 year(s), 1 month(s), 22 day(s)</t>
  </si>
  <si>
    <t>PEP was introducted, departed on 11/24 (performing Low)</t>
  </si>
  <si>
    <t>Kateřina Rutová</t>
  </si>
  <si>
    <t>Professional, Technical Writer-CZE</t>
  </si>
  <si>
    <t>3 year(s), 6 month(s), 17 day(s)</t>
  </si>
  <si>
    <t>Kira Droganova</t>
  </si>
  <si>
    <t>Francois is currently the manager but Nicole will complete talent mapping/performance reviews for 2026</t>
  </si>
  <si>
    <t>Kit Lau</t>
  </si>
  <si>
    <t>Senior User Interface Designer</t>
  </si>
  <si>
    <t>Sr. Professional, UI/UX Designer-USA</t>
  </si>
  <si>
    <t>Elizabeth Cardinal</t>
  </si>
  <si>
    <t>Kyle Hamm</t>
  </si>
  <si>
    <t>Will want to evaluate for next year on promotion (performing high for a P4)</t>
  </si>
  <si>
    <t>Kyle Waterworth</t>
  </si>
  <si>
    <t>Laine Caruzca</t>
  </si>
  <si>
    <t>Sr. Professional, Product Management-GBR</t>
  </si>
  <si>
    <t>0 year(s), 8 month(s), 6 day(s)</t>
  </si>
  <si>
    <t>Liana Ahn</t>
  </si>
  <si>
    <t>Even though early, strong indicator that she would be performing at P3 level in no time, after further onboarding.</t>
  </si>
  <si>
    <t>Lucy Durand</t>
  </si>
  <si>
    <t>Sr. Professional, UI/UX Researcher-USA</t>
  </si>
  <si>
    <t>Manisha Jaiswal</t>
  </si>
  <si>
    <t>Senior Quantitative UX Researcher</t>
  </si>
  <si>
    <t>1 year(s), 8 month(s), 1 day(s)</t>
  </si>
  <si>
    <t>From Erin: not aligned ont his assessment. Think this should be scored down. 
Very motivated, trying hard but struggling with soft skills. Operating on a mid level more than the senior than she is. Have been coaching, focusing on communication and stakeholder management.</t>
  </si>
  <si>
    <t>Manoj Ramachandran</t>
  </si>
  <si>
    <t>Senior Product Manager</t>
  </si>
  <si>
    <t>Sr. Professional, Product Management-IND</t>
  </si>
  <si>
    <t>1 year(s), 5 month(s), 9 day(s)</t>
  </si>
  <si>
    <t>Manuela Cardenas</t>
  </si>
  <si>
    <t>2 year(s), 2 month(s), 12 day(s)</t>
  </si>
  <si>
    <t>Manvith U S</t>
  </si>
  <si>
    <t>UX Designer</t>
  </si>
  <si>
    <t>1 year(s), 2 month(s), 3 day(s)</t>
  </si>
  <si>
    <t>Manvith's performance in the past was somewhat inconsistent but showed a significant growth recently</t>
  </si>
  <si>
    <t>Marcin Zegrodzki</t>
  </si>
  <si>
    <t>Advanced Professional, Product Management-CZE</t>
  </si>
  <si>
    <t>Marija Livrinski</t>
  </si>
  <si>
    <t>Sr. Professional, Product Management-AUS</t>
  </si>
  <si>
    <t>3 year(s), 2 month(s), 28 day(s)</t>
  </si>
  <si>
    <t>Megan Harron</t>
  </si>
  <si>
    <t>Meghan McCrory</t>
  </si>
  <si>
    <t>Promoted last year, continuing to meet and often exceed expectations</t>
  </si>
  <si>
    <t>Michael Johnson</t>
  </si>
  <si>
    <t>0 year(s), 8 month(s), 9 day(s)</t>
  </si>
  <si>
    <t>Mike Akey</t>
  </si>
  <si>
    <t>Monique Barbour</t>
  </si>
  <si>
    <t>Nataliia Bondarchuk</t>
  </si>
  <si>
    <t>Sr. Professional, Product Management-UKR</t>
  </si>
  <si>
    <t>Nate Vaziri</t>
  </si>
  <si>
    <t>Principal, Technical Product Management - AI &amp; Data</t>
  </si>
  <si>
    <t>Principal, Technical Product Management-USA</t>
  </si>
  <si>
    <t>0 year(s), 1 month(s), 13 day(s)</t>
  </si>
  <si>
    <t>Nitin Grewal</t>
  </si>
  <si>
    <t>Sr. Principal, Product Management-DEU</t>
  </si>
  <si>
    <t>Omkar Punuru</t>
  </si>
  <si>
    <t>Senior Program Manager</t>
  </si>
  <si>
    <t>Sr. Professional, Technical Program Management-IND</t>
  </si>
  <si>
    <t>1 year(s), 1 month(s), 5 day(s)</t>
  </si>
  <si>
    <t>Has steadily improved with increased automony in assignments.</t>
  </si>
  <si>
    <t>Pavel Pankov</t>
  </si>
  <si>
    <t>Peter Ott</t>
  </si>
  <si>
    <t>4 year(s), 0 month(s), 11 day(s)</t>
  </si>
  <si>
    <t>Discussed at July onsite, known flight risk, has gotten the sponsorship of Laura; had an interpersonal conflict that was fully resolved as per follow up by multiple people; expecting to submit for promotion this cycle</t>
  </si>
  <si>
    <t>Pranjal Uday</t>
  </si>
  <si>
    <t>1 year(s), 5 month(s), 16 day(s)</t>
  </si>
  <si>
    <t>Pranjal was very senior mid designer from the time he was hired. Since then he only strengthen his impact and expertise. I can rely on him with complex projects and I think he is ready for Sr.</t>
  </si>
  <si>
    <t>Prashant Pathade</t>
  </si>
  <si>
    <t>Lead Product Analyst</t>
  </si>
  <si>
    <t>Quan To</t>
  </si>
  <si>
    <t>Rachel Zolotov</t>
  </si>
  <si>
    <t>Sr. Product Designer</t>
  </si>
  <si>
    <t>Raffaela Bethke</t>
  </si>
  <si>
    <t>2 year(s), 1 month(s), 18 day(s)</t>
  </si>
  <si>
    <t>Rahul Sharma</t>
  </si>
  <si>
    <t>Rasim Muftiev</t>
  </si>
  <si>
    <t>Professional, Product Management-CZE</t>
  </si>
  <si>
    <t>0 year(s), 7 month(s), 5 day(s)</t>
  </si>
  <si>
    <t>Rithi Son</t>
  </si>
  <si>
    <t>Sr. Professional, Product Management</t>
  </si>
  <si>
    <t>0 year(s), 4 month(s), 3 day(s)</t>
  </si>
  <si>
    <t xml:space="preserve">Time in Job Profile reflects title change from TPM to PM in July, and is not indicative of an actual recent job change. Has been in current role for almost 2 years. </t>
  </si>
  <si>
    <t>Rubaina Parveen</t>
  </si>
  <si>
    <t>Senior Technical Writer</t>
  </si>
  <si>
    <t>Sr. Professional, Technical Writer-IND</t>
  </si>
  <si>
    <t>0 year(s), 7 month(s), 12 day(s)</t>
  </si>
  <si>
    <t>Sergii Muravskyi (Сергей Муравский)</t>
  </si>
  <si>
    <t>Time in Job Profile reflects title change from TPM to PM in November, and is not indicative of an actual recent job change. Has been in current role for almost 5 years. 
Francois is currently the manager but Nicole will complete talent mapping/performance reviews for 2026</t>
  </si>
  <si>
    <t>Siddharth Shankar Prusty</t>
  </si>
  <si>
    <t>Siddharth Vijayvergiya</t>
  </si>
  <si>
    <t>Principal, Product Management-IND</t>
  </si>
  <si>
    <t>0 year(s), 3 month(s), 15 day(s)</t>
  </si>
  <si>
    <t>Sourabh Rakhya</t>
  </si>
  <si>
    <t>Stanislava Sirockova</t>
  </si>
  <si>
    <t>Sr. Professional, UI/UX Designer-CZE</t>
  </si>
  <si>
    <t>Promoted recently.</t>
  </si>
  <si>
    <t>Sushanth Shajil</t>
  </si>
  <si>
    <t>0 year(s), 10 month(s), 13 day(s)</t>
  </si>
  <si>
    <t>TANISHA BISWAS</t>
  </si>
  <si>
    <t>Design System Designer</t>
  </si>
  <si>
    <t>Taylor Neal</t>
  </si>
  <si>
    <t>0 year(s), 3 month(s), 1 day(s)</t>
  </si>
  <si>
    <t>Just hired in August, not eligible (high performer for a P2)</t>
  </si>
  <si>
    <t>Ted Schuchardt</t>
  </si>
  <si>
    <t>Tereza Novotna</t>
  </si>
  <si>
    <t>0 year(s), 2 month(s), 4 day(s)</t>
  </si>
  <si>
    <t>Just hired in September, not eligible (performing as expected for P3)</t>
  </si>
  <si>
    <t>Tomáš Beran</t>
  </si>
  <si>
    <t>4 year(s), 3 month(s), 17 day(s)</t>
  </si>
  <si>
    <t>Tonya Smith</t>
  </si>
  <si>
    <t>0 year(s), 3 month(s), 26 day(s)</t>
  </si>
  <si>
    <t>Trevor Harris</t>
  </si>
  <si>
    <t>Xenija Podjablonskaja (On Leave)</t>
  </si>
  <si>
    <t>Ximena Arce</t>
  </si>
  <si>
    <t>0 year(s), 2 month(s), 19 day(s)</t>
  </si>
  <si>
    <t>Just got promotion</t>
  </si>
  <si>
    <t xml:space="preserve">EOY25 Talent Indicator </t>
  </si>
  <si>
    <t xml:space="preserve">Talent Mapping Position </t>
  </si>
  <si>
    <t>Emerging Talent/ Off-Track [L,H]</t>
  </si>
  <si>
    <t xml:space="preserve">identify performance barriers, explore portential to expand responsibilties in current role </t>
  </si>
  <si>
    <t xml:space="preserve">Differentially Invest - Ensure career discussions are happening regualrly? Do they have an individual development plan? What opportunities exist to accelerate development and growth? Revisit talent often to plan for next steps. </t>
  </si>
  <si>
    <t>identify performance barriers, explore portential to expand responsibilties in current role and discuss career aspirations (ideally for talent new in role)</t>
  </si>
  <si>
    <t xml:space="preserve">Develop in Role - Identify developmental activities to continue to grow their skill and set them up for success for anticiapted progression </t>
  </si>
  <si>
    <t xml:space="preserve">9- Box Calibration </t>
  </si>
  <si>
    <t>Count of Worker</t>
  </si>
  <si>
    <t>Total</t>
  </si>
  <si>
    <t>(blank)</t>
  </si>
  <si>
    <t>Grand Total</t>
  </si>
  <si>
    <t>Core Talent [M,M] Total</t>
  </si>
  <si>
    <t>Expert Talent [H,L] Total</t>
  </si>
  <si>
    <t>Growth Talent [M,H] Total</t>
  </si>
  <si>
    <t>High Impact Talent [H,M] Total</t>
  </si>
  <si>
    <t>Solid Talent [M,L] Total</t>
  </si>
  <si>
    <t>Top Talent [H,H] Total</t>
  </si>
  <si>
    <t>Underperforming Talent [L,L] Total</t>
  </si>
  <si>
    <t>(blank) Total</t>
  </si>
  <si>
    <t>Kyle Waterworth (On Leave)</t>
  </si>
  <si>
    <t>Inconsistent Talent [L,M] Total</t>
  </si>
  <si>
    <t/>
  </si>
  <si>
    <t xml:space="preserv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</si>
</sst>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Aptos Narrow"/>
      <family val="2"/>
      <scheme val="minor"/>
    </font>
    <font>
      <b/>
      <sz val="10"/>
      <color rgb="FF000000"/>
      <name val="Arial"/>
      <family val="2"/>
    </font>
    <font>
      <sz val="10"/>
      <color rgb="FF000000"/>
      <name val="Arial"/>
      <family val="2"/>
    </font>
    <font>
      <sz val="12"/>
      <color rgb="FF000000"/>
      <name val="Aptos Narrow"/>
      <family val="2"/>
      <scheme val="minor"/>
    </font>
    <font>
      <b/>
      <sz val="12"/>
      <color theme="1"/>
      <name val="Aptos Narrow"/>
      <family val="2"/>
      <scheme val="minor"/>
    </font>
    <font>
      <sz val="10"/>
      <color theme="1"/>
      <name val="Arial"/>
      <family val="2"/>
    </font>
    <font>
      <b/>
      <i/>
      <sz val="10"/>
      <color rgb="FF000000"/>
      <name val="Arial"/>
      <family val="2"/>
    </font>
    <font>
      <b/>
      <sz val="16"/>
      <color theme="1"/>
      <name val="Aptos Narrow"/>
      <family val="2"/>
      <scheme val="minor"/>
    </font>
    <font>
      <sz val="14"/>
      <color theme="1"/>
      <name val="Aptos Narrow"/>
      <family val="2"/>
      <scheme val="minor"/>
    </font>
    <font>
      <b/>
      <sz val="16"/>
      <color theme="1"/>
      <name val="Aptos Narrow (Body)"/>
    </font>
    <font>
      <sz val="16"/>
      <color theme="1"/>
      <name val="Aptos Narrow (Body)"/>
    </font>
    <font>
      <b/>
      <sz val="11"/>
      <color rgb="FF000000"/>
      <name val="Arial"/>
      <family val="2"/>
    </font>
    <font>
      <b/>
      <i/>
      <sz val="11"/>
      <color theme="1"/>
      <name val="Aptos Narrow"/>
      <family val="2"/>
      <scheme val="minor"/>
    </font>
    <font>
      <b/>
      <sz val="14"/>
      <color theme="1"/>
      <name val="Aptos Narrow"/>
      <family val="2"/>
      <scheme val="minor"/>
    </font>
    <font>
      <sz val="10"/>
      <color theme="1"/>
      <name val="Aptos Narrow"/>
      <family val="2"/>
      <scheme val="minor"/>
    </font>
    <font>
      <sz val="10"/>
      <color rgb="FF000000"/>
      <name val="Arial"/>
    </font>
    <font>
      <sz val="14"/>
      <color rgb="FF000000"/>
      <name val="Aptos Narrow"/>
    </font>
    <font>
      <b/>
      <sz val="14"/>
      <color rgb="FF000000"/>
      <name val="Aptos Narrow"/>
    </font>
  </fonts>
  <fills count="9">
    <fill>
      <patternFill patternType="none"/>
    </fill>
    <fill>
      <patternFill patternType="gray125"/>
    </fill>
    <fill>
      <patternFill patternType="solid">
        <fgColor rgb="FFFFC000"/>
        <bgColor indexed="64"/>
      </patternFill>
    </fill>
    <fill>
      <patternFill patternType="solid">
        <fgColor rgb="FFFF0000"/>
        <bgColor indexed="64"/>
      </patternFill>
    </fill>
    <fill>
      <patternFill patternType="solid">
        <fgColor rgb="FF00B0F0"/>
        <bgColor indexed="64"/>
      </patternFill>
    </fill>
    <fill>
      <patternFill patternType="solid">
        <fgColor rgb="FF00B050"/>
        <bgColor indexed="64"/>
      </patternFill>
    </fill>
    <fill>
      <patternFill patternType="solid">
        <fgColor theme="2"/>
        <bgColor indexed="64"/>
      </patternFill>
    </fill>
    <fill>
      <patternFill patternType="solid">
        <fgColor theme="3" tint="0.89999084444715716"/>
        <bgColor indexed="64"/>
      </patternFill>
    </fill>
    <fill>
      <patternFill patternType="solid">
        <fgColor theme="6"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theme="1"/>
      </top>
      <bottom/>
      <diagonal/>
    </border>
  </borders>
  <cellStyleXfs count="1">
    <xf numFmtId="0" fontId="0" fillId="0" borderId="0"/>
  </cellStyleXfs>
  <cellXfs count="49">
    <xf numFmtId="0" fontId="0" fillId="0" borderId="0" xfId="0"/>
    <xf numFmtId="0" fontId="1" fillId="0" borderId="0" xfId="0" applyFont="1" applyAlignment="1">
      <alignment horizontal="center" vertical="top" wrapText="1"/>
    </xf>
    <xf numFmtId="0" fontId="2" fillId="0" borderId="0" xfId="0" applyFont="1" applyAlignment="1">
      <alignment vertical="top" wrapText="1"/>
    </xf>
    <xf numFmtId="0" fontId="3" fillId="0" borderId="0" xfId="0" applyFont="1"/>
    <xf numFmtId="0" fontId="0" fillId="2" borderId="0" xfId="0" applyFill="1"/>
    <xf numFmtId="0" fontId="0" fillId="3" borderId="0" xfId="0" applyFill="1"/>
    <xf numFmtId="0" fontId="0" fillId="4" borderId="0" xfId="0" applyFill="1"/>
    <xf numFmtId="0" fontId="0" fillId="5" borderId="0" xfId="0" applyFill="1"/>
    <xf numFmtId="0" fontId="5" fillId="0" borderId="0" xfId="0" applyFont="1" applyAlignment="1">
      <alignment wrapText="1"/>
    </xf>
    <xf numFmtId="0" fontId="0" fillId="0" borderId="0" xfId="0" applyAlignment="1">
      <alignment vertical="top" wrapText="1"/>
    </xf>
    <xf numFmtId="0" fontId="4" fillId="0" borderId="0" xfId="0" applyFont="1"/>
    <xf numFmtId="0" fontId="6" fillId="6" borderId="0" xfId="0" applyFont="1" applyFill="1" applyAlignment="1">
      <alignment horizontal="center" vertical="top" wrapText="1"/>
    </xf>
    <xf numFmtId="0" fontId="7" fillId="0" borderId="0" xfId="0" applyFont="1" applyAlignment="1">
      <alignment vertical="top" wrapText="1"/>
    </xf>
    <xf numFmtId="0" fontId="8" fillId="0" borderId="0" xfId="0" applyFont="1" applyAlignment="1">
      <alignment vertical="top" wrapText="1"/>
    </xf>
    <xf numFmtId="0" fontId="11" fillId="0" borderId="1" xfId="0" applyFont="1" applyBorder="1" applyAlignment="1">
      <alignment horizontal="center" vertical="top" wrapText="1"/>
    </xf>
    <xf numFmtId="0" fontId="0" fillId="0" borderId="1" xfId="0" applyBorder="1" applyAlignment="1">
      <alignment vertical="top" wrapText="1"/>
    </xf>
    <xf numFmtId="0" fontId="0" fillId="2" borderId="1" xfId="0" applyFill="1" applyBorder="1" applyAlignment="1">
      <alignment vertical="top" wrapText="1"/>
    </xf>
    <xf numFmtId="0" fontId="3" fillId="0" borderId="1" xfId="0" applyFont="1"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3" fillId="4" borderId="1" xfId="0" applyFont="1" applyFill="1" applyBorder="1" applyAlignment="1">
      <alignment vertical="top" wrapText="1"/>
    </xf>
    <xf numFmtId="0" fontId="2" fillId="0" borderId="0" xfId="0" applyFont="1" applyAlignment="1">
      <alignment horizontal="center" vertical="top" wrapText="1"/>
    </xf>
    <xf numFmtId="14" fontId="2" fillId="0" borderId="0" xfId="0" applyNumberFormat="1" applyFont="1" applyAlignment="1">
      <alignment horizontal="center" vertical="top"/>
    </xf>
    <xf numFmtId="0" fontId="12" fillId="7" borderId="2" xfId="0" applyFont="1" applyFill="1" applyBorder="1" applyAlignment="1">
      <alignment vertical="top" wrapText="1"/>
    </xf>
    <xf numFmtId="0" fontId="12" fillId="7" borderId="2" xfId="0" applyFont="1" applyFill="1" applyBorder="1" applyAlignment="1">
      <alignment horizontal="left" vertical="top" wrapText="1"/>
    </xf>
    <xf numFmtId="0" fontId="0" fillId="0" borderId="0" xfId="0" pivotButton="1"/>
    <xf numFmtId="0" fontId="0" fillId="0" borderId="0" xfId="0" applyAlignment="1">
      <alignment horizontal="left"/>
    </xf>
    <xf numFmtId="0" fontId="8" fillId="7" borderId="0" xfId="0" applyFont="1" applyFill="1" applyAlignment="1">
      <alignment vertical="top"/>
    </xf>
    <xf numFmtId="0" fontId="8" fillId="7" borderId="0" xfId="0" applyFont="1" applyFill="1" applyAlignment="1">
      <alignment vertical="top" wrapText="1"/>
    </xf>
    <xf numFmtId="0" fontId="2" fillId="0" borderId="0" xfId="0" quotePrefix="1" applyFont="1" applyAlignment="1">
      <alignment horizontal="center" vertical="top" wrapText="1"/>
    </xf>
    <xf numFmtId="0" fontId="14" fillId="0" borderId="0" xfId="0" applyFont="1" applyAlignment="1">
      <alignment horizontal="center" vertical="top"/>
    </xf>
    <xf numFmtId="0" fontId="14" fillId="0" borderId="0" xfId="0" applyFont="1" applyAlignment="1">
      <alignment horizontal="center" vertical="top" wrapText="1"/>
    </xf>
    <xf numFmtId="14" fontId="14" fillId="0" borderId="0" xfId="0" applyNumberFormat="1" applyFont="1" applyAlignment="1">
      <alignment horizontal="center" vertical="top" wrapText="1"/>
    </xf>
    <xf numFmtId="0" fontId="14" fillId="0" borderId="0" xfId="0" applyFont="1"/>
    <xf numFmtId="0" fontId="14" fillId="0" borderId="0" xfId="0" applyFont="1" applyAlignment="1">
      <alignment horizontal="left" vertical="top"/>
    </xf>
    <xf numFmtId="0" fontId="6" fillId="8" borderId="0" xfId="0" applyFont="1" applyFill="1" applyAlignment="1">
      <alignment horizontal="center" vertical="top" wrapText="1"/>
    </xf>
    <xf numFmtId="0" fontId="2" fillId="8" borderId="0" xfId="0" applyFont="1" applyFill="1" applyAlignment="1">
      <alignment vertical="top" wrapText="1"/>
    </xf>
    <xf numFmtId="0" fontId="2" fillId="8" borderId="0" xfId="0" applyFont="1" applyFill="1" applyAlignment="1">
      <alignment horizontal="center" vertical="top" wrapText="1"/>
    </xf>
    <xf numFmtId="0" fontId="14" fillId="8" borderId="0" xfId="0" applyFont="1" applyFill="1"/>
    <xf numFmtId="0" fontId="1" fillId="0" borderId="0" xfId="0" applyFont="1" applyAlignment="1">
      <alignment vertical="top" wrapText="1"/>
    </xf>
    <xf numFmtId="0" fontId="15" fillId="0" borderId="0" xfId="0" applyFont="1" applyAlignment="1">
      <alignment horizontal="center" vertical="top" wrapText="1"/>
    </xf>
    <xf numFmtId="0" fontId="15" fillId="8" borderId="0" xfId="0" applyFont="1" applyFill="1" applyAlignment="1">
      <alignment vertical="top" wrapText="1"/>
    </xf>
    <xf numFmtId="0" fontId="16" fillId="7" borderId="0" xfId="0" applyFont="1" applyFill="1" applyAlignment="1">
      <alignment vertical="top"/>
    </xf>
    <xf numFmtId="0" fontId="15" fillId="8" borderId="0" xfId="0" applyFont="1" applyFill="1" applyAlignment="1">
      <alignment wrapText="1"/>
    </xf>
    <xf numFmtId="0" fontId="14" fillId="8" borderId="0" xfId="0" applyFont="1" applyFill="1" applyAlignment="1">
      <alignment vertical="top" wrapText="1"/>
    </xf>
    <xf numFmtId="0" fontId="14" fillId="8" borderId="0" xfId="0" applyFont="1" applyFill="1" applyAlignment="1">
      <alignment vertical="top"/>
    </xf>
    <xf numFmtId="0" fontId="14" fillId="8" borderId="0" xfId="0" applyFont="1" applyFill="1" applyAlignment="1">
      <alignment wrapText="1"/>
    </xf>
    <xf numFmtId="0" fontId="14" fillId="8" borderId="0" xfId="0" applyFont="1" applyFill="1" applyAlignment="1">
      <alignment vertical="center"/>
    </xf>
  </cellXfs>
  <cellStyles count="1">
    <cellStyle name="Normal" xfId="0" builtinId="0"/>
  </cellStyles>
  <dxfs count="15">
    <dxf>
      <fill>
        <patternFill>
          <fgColor theme="3" tint="0.24994659260841701"/>
          <bgColor rgb="FF00B0F0"/>
        </patternFill>
      </fill>
    </dxf>
    <dxf>
      <fill>
        <patternFill>
          <bgColor rgb="FFFFC000"/>
        </patternFill>
      </fill>
    </dxf>
    <dxf>
      <fill>
        <patternFill>
          <bgColor rgb="FFFF0000"/>
        </patternFill>
      </fill>
    </dxf>
    <dxf>
      <fill>
        <patternFill>
          <fgColor theme="3" tint="0.24994659260841701"/>
          <bgColor rgb="FF00B050"/>
        </patternFill>
      </fill>
    </dxf>
    <dxf>
      <font>
        <color rgb="FF9C0006"/>
      </font>
      <fill>
        <patternFill>
          <bgColor rgb="FFFFC7CE"/>
        </patternFill>
      </fill>
    </dxf>
    <dxf>
      <fill>
        <patternFill>
          <fgColor theme="3" tint="0.24994659260841701"/>
          <bgColor rgb="FF00B0F0"/>
        </patternFill>
      </fill>
    </dxf>
    <dxf>
      <fill>
        <patternFill>
          <bgColor rgb="FFFFC000"/>
        </patternFill>
      </fill>
    </dxf>
    <dxf>
      <fill>
        <patternFill>
          <bgColor rgb="FFFF0000"/>
        </patternFill>
      </fill>
    </dxf>
    <dxf>
      <fill>
        <patternFill>
          <fgColor theme="3" tint="0.24994659260841701"/>
          <bgColor rgb="FF00B050"/>
        </patternFill>
      </fill>
    </dxf>
    <dxf>
      <fill>
        <patternFill>
          <bgColor rgb="FFFFC000"/>
        </patternFill>
      </fill>
    </dxf>
    <dxf>
      <fill>
        <patternFill>
          <bgColor rgb="FFFFC000"/>
        </patternFill>
      </fill>
    </dxf>
    <dxf>
      <fill>
        <patternFill>
          <fgColor theme="3" tint="0.24994659260841701"/>
          <bgColor rgb="FF00B0F0"/>
        </patternFill>
      </fill>
    </dxf>
    <dxf>
      <fill>
        <patternFill>
          <bgColor rgb="FFFFC000"/>
        </patternFill>
      </fill>
    </dxf>
    <dxf>
      <fill>
        <patternFill>
          <bgColor rgb="FFFF0000"/>
        </patternFill>
      </fill>
    </dxf>
    <dxf>
      <fill>
        <patternFill>
          <fgColor theme="3" tint="0.24994659260841701"/>
          <bgColor rgb="FF00B050"/>
        </patternFill>
      </fill>
    </dxf>
  </dxfs>
  <tableStyles count="0" defaultTableStyle="TableStyleMedium2" defaultPivotStyle="PivotStyleLight16"/>
  <colors>
    <mruColors>
      <color rgb="FFE75E19"/>
      <color rgb="FFE9491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685800</xdr:colOff>
      <xdr:row>4</xdr:row>
      <xdr:rowOff>114300</xdr:rowOff>
    </xdr:from>
    <xdr:to>
      <xdr:col>14</xdr:col>
      <xdr:colOff>463550</xdr:colOff>
      <xdr:row>14</xdr:row>
      <xdr:rowOff>304800</xdr:rowOff>
    </xdr:to>
    <xdr:pic>
      <xdr:nvPicPr>
        <xdr:cNvPr id="3" name="Picture 2">
          <a:extLst>
            <a:ext uri="{FF2B5EF4-FFF2-40B4-BE49-F238E27FC236}">
              <a16:creationId xmlns:a16="http://schemas.microsoft.com/office/drawing/2014/main" id="{F40FD320-F66F-5B21-04B6-A10422847117}"/>
            </a:ext>
            <a:ext uri="{147F2762-F138-4A5C-976F-8EAC2B608ADB}">
              <a16:predDERef xmlns:a16="http://schemas.microsoft.com/office/drawing/2014/main" pred="{65B950D7-4EE9-2F71-CCA7-3CABC200DB01}"/>
            </a:ext>
          </a:extLst>
        </xdr:cNvPr>
        <xdr:cNvPicPr>
          <a:picLocks noChangeAspect="1"/>
        </xdr:cNvPicPr>
      </xdr:nvPicPr>
      <xdr:blipFill rotWithShape="1">
        <a:blip xmlns:r="http://schemas.openxmlformats.org/officeDocument/2006/relationships" r:embed="rId1"/>
        <a:srcRect l="1144" b="2368"/>
        <a:stretch>
          <a:fillRect/>
        </a:stretch>
      </xdr:blipFill>
      <xdr:spPr>
        <a:xfrm>
          <a:off x="10315575" y="1114425"/>
          <a:ext cx="8067675" cy="3886200"/>
        </a:xfrm>
        <a:prstGeom prst="rect">
          <a:avLst/>
        </a:prstGeom>
      </xdr:spPr>
    </xdr:pic>
    <xdr:clientData/>
  </xdr:twoCellAnchor>
  <xdr:twoCellAnchor editAs="oneCell">
    <xdr:from>
      <xdr:col>4</xdr:col>
      <xdr:colOff>561975</xdr:colOff>
      <xdr:row>14</xdr:row>
      <xdr:rowOff>466725</xdr:rowOff>
    </xdr:from>
    <xdr:to>
      <xdr:col>14</xdr:col>
      <xdr:colOff>400050</xdr:colOff>
      <xdr:row>20</xdr:row>
      <xdr:rowOff>38100</xdr:rowOff>
    </xdr:to>
    <xdr:pic>
      <xdr:nvPicPr>
        <xdr:cNvPr id="4" name="Picture 3">
          <a:extLst>
            <a:ext uri="{FF2B5EF4-FFF2-40B4-BE49-F238E27FC236}">
              <a16:creationId xmlns:a16="http://schemas.microsoft.com/office/drawing/2014/main" id="{1B8697F5-E521-4849-BB69-290A6E5ECDFC}"/>
            </a:ext>
            <a:ext uri="{147F2762-F138-4A5C-976F-8EAC2B608ADB}">
              <a16:predDERef xmlns:a16="http://schemas.microsoft.com/office/drawing/2014/main" pred="{F40FD320-F66F-5B21-04B6-A1042284711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191750" y="4953000"/>
          <a:ext cx="8124825" cy="4829175"/>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3.360184606485" createdVersion="8" refreshedVersion="8" minRefreshableVersion="3" recordCount="95" xr:uid="{0F677D85-AC8E-4111-B6AE-9636396B0747}">
  <cacheSource type="worksheet">
    <worksheetSource ref="A1:X1048576" sheet="PUX ICs"/>
  </cacheSource>
  <cacheFields count="24">
    <cacheField name="Employee ID" numFmtId="0">
      <sharedItems containsString="0" containsBlank="1" containsNumber="1" containsInteger="1" minValue="1280" maxValue="106400"/>
    </cacheField>
    <cacheField name="Worker" numFmtId="0">
      <sharedItems containsBlank="1" count="116">
        <s v="Adam Neylon"/>
        <s v="Adriana Rybarova"/>
        <s v="Agnimitra Pathak"/>
        <s v="Aida Abbasi"/>
        <s v="AKASH S"/>
        <s v="Alexandra Zelinskaya"/>
        <s v="Alicia Beam"/>
        <s v="Andrew Lloyd"/>
        <s v="Apurva Mathur"/>
        <s v="ARPIT VERMA"/>
        <s v="Artem Pakhomov (Артём Пахомов)"/>
        <s v="Ashutosh Kumar"/>
        <s v="Baneen Bryan"/>
        <s v="Becca Lemmons (On Leave)"/>
        <s v="Bob Fraser"/>
        <s v="Brad Shaw"/>
        <s v="Bryan Chan"/>
        <s v="Bryce Laird"/>
        <s v="Charles Ash"/>
        <s v="Chirag Dadheech"/>
        <s v="David Cooperberg"/>
        <s v="David Domagalski"/>
        <s v="David Skala"/>
        <s v="Dhiraj Sahu"/>
        <s v="Elad Idan"/>
        <s v="Emily Davis (On Leave)"/>
        <s v="Emily Turner"/>
        <s v="Gabe Keaveney"/>
        <s v="Gayatri Kakarlapudi"/>
        <s v="Geoffrey Zath"/>
        <s v="Gita Ligure"/>
        <s v="Greg Filla (On Leave)"/>
        <s v="Harsh Jiladiya"/>
        <s v="HEMANTI PRADHAN"/>
        <s v="Iryna Onishchuk (Ірина Оніщук)"/>
        <s v="Ishita Gandhi"/>
        <s v="Jarrod Thuener"/>
        <s v="JASON GAYLORD"/>
        <s v="Jay Shipley"/>
        <s v="Jinju Hopkins (On Leave)"/>
        <s v="Jiří Peroutka"/>
        <s v="Joanna Hoge"/>
        <s v="Joe Repucci"/>
        <s v="Kateřina Rutová"/>
        <s v="Kira Droganova"/>
        <s v="Kit Lau"/>
        <s v="Kyle Hamm"/>
        <s v="Kyle Waterworth (On Leave)"/>
        <s v="Laine Caruzca"/>
        <s v="Liana Ahn"/>
        <s v="Lucy Durand"/>
        <s v="Manisha Jaiswal"/>
        <s v="Manoj Ramachandran"/>
        <s v="Manuela Cardenas"/>
        <s v="Manvith U S"/>
        <s v="Marcin Zegrodzki"/>
        <s v="Marija Livrinski"/>
        <s v="Megan Harron"/>
        <s v="Meghan McCrory"/>
        <s v="Michael Johnson"/>
        <s v="Mike Akey"/>
        <s v="Monique Barbour"/>
        <s v="Nataliia Bondarchuk"/>
        <s v="Nate Vaziri"/>
        <s v="Nitin Grewal"/>
        <s v="Omkar Punuru"/>
        <s v="Pavel Pankov"/>
        <s v="Peter Ott"/>
        <s v="Pranjal Uday"/>
        <s v="Prashant Pathade"/>
        <s v="Quan To"/>
        <s v="Rachel Zolotov"/>
        <s v="Raffaela Bethke"/>
        <s v="Rahul Sharma"/>
        <s v="Rasim Muftiev"/>
        <s v="Rithi Son"/>
        <s v="Rubaina Parveen"/>
        <s v="Sergii Muravskyi (Сергей Муравский)"/>
        <s v="Siddharth Shankar Prusty"/>
        <s v="Siddharth Vijayvergiya"/>
        <s v="Sourabh Rakhya"/>
        <s v="Stanislava Sirockova"/>
        <s v="Sushanth Shajil"/>
        <s v="TANISHA BISWAS"/>
        <s v="Taylor Neal"/>
        <s v="Ted Schuchardt"/>
        <s v="Tereza Novotna"/>
        <s v="Tomáš Beran"/>
        <s v="Tonya Smith"/>
        <s v="Trevor Harris"/>
        <s v="Xenija Podjablonskaja (On Leave)"/>
        <s v="Ximena Arce"/>
        <m/>
        <s v="Patrik Volek" u="1"/>
        <s v="Sheila Ober" u="1"/>
        <s v="Ani Worlikar" u="1"/>
        <s v="Carolyn Blanco Losada" u="1"/>
        <s v="Chad Thompson" u="1"/>
        <s v="Elizabeth Benker" u="1"/>
        <s v="Elizabeth Cardinal" u="1"/>
        <s v="Erin Howard" u="1"/>
        <s v="Francois Planet" u="1"/>
        <s v="Hitesh Bakutra" u="1"/>
        <s v="Kate Butcher" u="1"/>
        <s v="Katie Fiscus" u="1"/>
        <s v="Laura Williams Argilla" u="1"/>
        <s v="Lindsey Zibell" u="1"/>
        <s v="Marcela Abrach" u="1"/>
        <s v="Nicole Johnson" u="1"/>
        <s v="Olga Ziegelman" u="1"/>
        <s v="Pavla Miksova (On Leave)" u="1"/>
        <s v="Rachel Howard" u="1"/>
        <s v="Robert D'Arrigo" u="1"/>
        <s v="Tomáš Mitana" u="1"/>
        <s v="Will Hurley" u="1"/>
        <s v="Yujia Zhao" u="1"/>
      </sharedItems>
    </cacheField>
    <cacheField name="Business Title" numFmtId="0">
      <sharedItems containsBlank="1"/>
    </cacheField>
    <cacheField name="Job Title" numFmtId="0">
      <sharedItems containsBlank="1"/>
    </cacheField>
    <cacheField name="Job Profile" numFmtId="0">
      <sharedItems containsBlank="1"/>
    </cacheField>
    <cacheField name="Job Level - Primary Position" numFmtId="0">
      <sharedItems containsBlank="1"/>
    </cacheField>
    <cacheField name="Hire Date" numFmtId="0">
      <sharedItems containsNonDate="0" containsDate="1" containsString="0" containsBlank="1" minDate="2014-03-17T00:00:00" maxDate="2025-11-06T00:00:00"/>
    </cacheField>
    <cacheField name="Tenure Category (Months)" numFmtId="0">
      <sharedItems containsBlank="1"/>
    </cacheField>
    <cacheField name="Time in Job Profile" numFmtId="0">
      <sharedItems containsBlank="1"/>
    </cacheField>
    <cacheField name="2023 Completed Performance Rating" numFmtId="0">
      <sharedItems containsBlank="1"/>
    </cacheField>
    <cacheField name="2024 Completed Performance Rating" numFmtId="0">
      <sharedItems containsBlank="1"/>
    </cacheField>
    <cacheField name="Aug 2025 Talent Assessment Performance" numFmtId="0">
      <sharedItems containsBlank="1"/>
    </cacheField>
    <cacheField name="Aug 2025  Talent Assessment Potential" numFmtId="0">
      <sharedItems containsBlank="1"/>
    </cacheField>
    <cacheField name="Aug 2025 Talent Assessment 9-Box Label" numFmtId="0">
      <sharedItems containsBlank="1" containsMixedTypes="1" containsNumber="1" containsInteger="1" minValue="1" maxValue="9"/>
    </cacheField>
    <cacheField name="FY25 Talent Indicator " numFmtId="0">
      <sharedItems containsBlank="1"/>
    </cacheField>
    <cacheField name="Talent Mapping Position [Performance vs Potential] " numFmtId="0">
      <sharedItems containsBlank="1" count="11">
        <s v="Top Talent [H,H]"/>
        <s v="Core Talent [M,M]"/>
        <s v="Growth Talent [M,H]"/>
        <s v="High Impact Talent [H,M]"/>
        <s v="Inconsistent Talent [L,M]"/>
        <s v="Underperforming Talent [L,L]"/>
        <s v="Solid Talent [M,L]"/>
        <s v="Expert Talent [H,L]"/>
        <s v=""/>
        <m/>
        <s v="Inconsistent Talent [L,H]" u="1"/>
      </sharedItems>
    </cacheField>
    <cacheField name="Development Focus " numFmtId="0">
      <sharedItems containsBlank="1"/>
    </cacheField>
    <cacheField name="Development Action " numFmtId="0">
      <sharedItems containsBlank="1" longText="1"/>
    </cacheField>
    <cacheField name="Notes " numFmtId="0">
      <sharedItems containsBlank="1" longText="1"/>
    </cacheField>
    <cacheField name="Promotion Readiness " numFmtId="0">
      <sharedItems containsBlank="1"/>
    </cacheField>
    <cacheField name="Worker's Manager" numFmtId="0">
      <sharedItems containsBlank="1"/>
    </cacheField>
    <cacheField name="Management Chain - Level 04" numFmtId="0">
      <sharedItems containsBlank="1"/>
    </cacheField>
    <cacheField name="Management Chain - Level 05" numFmtId="0">
      <sharedItems containsBlank="1"/>
    </cacheField>
    <cacheField name="Management Chain - Level 06"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
  <r>
    <n v="103175"/>
    <x v="0"/>
    <s v="Principal Product Manager"/>
    <s v="Principal Product Manager"/>
    <s v="Principal, Product Management-USA"/>
    <s v="PT5 - Principal"/>
    <d v="2022-03-14T00:00:00"/>
    <s v="3 - 5 Years"/>
    <s v="0 year(s), 5 month(s), 11 day(s)"/>
    <s v="Leading"/>
    <s v="Leading"/>
    <s v="High"/>
    <s v="High"/>
    <n v="9"/>
    <s v="9.Top Talent "/>
    <x v="0"/>
    <s v="identify stretch experiences or temporary assignments, increase executive exposure "/>
    <s v="Differentially Invest - Ensure career discussions are happening regualrly? Do they have an individual development plan? What opportunities exist to accelerate development and growth? Revisit talent often to plan for next steps. "/>
    <s v="Career discussion with Laura and Lindsey in November 2025; commitment to include in Laura's team leads group and requested to join December Offsite; In current position 1yr10mo"/>
    <m/>
    <s v="Lindsey Zibell"/>
    <s v="Laura Williams Argilla"/>
    <s v="Lindsey Zibell"/>
    <m/>
  </r>
  <r>
    <n v="106384"/>
    <x v="1"/>
    <s v="Lead Product Designer"/>
    <s v="Advanced Professional, UI/UX Designer-CZE"/>
    <s v="Advanced Professional, UI/UX Designer-CZE"/>
    <s v="PT4 - Advanced Professional"/>
    <d v="2025-11-05T00:00:00"/>
    <s v="0 - 3 Months"/>
    <s v="0 year(s), 0 month(s), 14 day(s)"/>
    <m/>
    <m/>
    <m/>
    <m/>
    <m/>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s v="Just hired."/>
    <s v="No"/>
    <s v="Patrik Volek"/>
    <s v="Elizabeth Benker"/>
    <s v="Patrik Volek"/>
    <m/>
  </r>
  <r>
    <n v="103290"/>
    <x v="2"/>
    <s v="Sr. UX Designer"/>
    <s v="Sr. Professional, UI/UX Designer-IND"/>
    <s v="Sr. Professional, UI/UX Designer-IND"/>
    <s v="PT3 - Sr. Professional"/>
    <d v="2022-02-07T00:00:00"/>
    <s v="3 - 5 Years"/>
    <s v="3 year(s), 9 month(s), 12 day(s)"/>
    <s v="Solid"/>
    <s v="Strong"/>
    <s v="Medium"/>
    <s v="High"/>
    <n v="8"/>
    <s v="8. Growth Talent "/>
    <x v="2"/>
    <s v="identify performance barriers, explore portential to expand responsibilties in current role "/>
    <s v="Differentially Invest - Ensure career discussions are happening regualrly? Do they have an individual development plan? What opportunities exist to accelerate development and growth? Revisit talent often to plan for next steps. "/>
    <s v="After the reorg, expressed clearly that he is looking for promotion and feels ready for quite some time already (in current role for 4+ years). Since then he showcased very thoughtful and proactive attitude to his projects, mentored and guided more junior members of the team. I'm confident he is ready for Lead position."/>
    <s v="Yes"/>
    <s v="Patrik Volek"/>
    <s v="Elizabeth Benker"/>
    <s v="Patrik Volek"/>
    <m/>
  </r>
  <r>
    <n v="104817"/>
    <x v="3"/>
    <s v="Senior Product Designer"/>
    <s v="Sr. Professional, UI/UX Designer-AUS"/>
    <s v="Sr. Professional, UI/UX Designer-AUS"/>
    <s v="PT3 - Sr. Professional"/>
    <d v="2023-01-16T00:00:00"/>
    <s v="2 - 3 Years"/>
    <s v="2 year(s), 10 month(s), 3 day(s)"/>
    <s v="Solid"/>
    <s v="Strong"/>
    <s v="High"/>
    <s v="Medium"/>
    <n v="6"/>
    <s v="6.High Impact Talent"/>
    <x v="3"/>
    <s v="expand responsibilities in current role, identify key experiences and increase executive exposure"/>
    <s v="Differentially Invest - Ensure career discussions are happening regualrly? Do they have an individual development plan? What opportunities exist to accelerate development and growth? Revisit talent often to plan for next steps. "/>
    <m/>
    <m/>
    <s v="Will Hurley"/>
    <s v="Elizabeth Benker"/>
    <s v="Will Hurley"/>
    <m/>
  </r>
  <r>
    <n v="105857"/>
    <x v="4"/>
    <s v="Advanced Professional, UI/UX Designer-IND"/>
    <s v="Advanced Professional, UI/UX Designer-IND"/>
    <s v="Advanced Professional, UI/UX Designer-IND"/>
    <s v="PT4 - Advanced Professional"/>
    <d v="2024-12-30T00:00:00"/>
    <s v="10 - 12 Months"/>
    <s v="0 year(s), 3 month(s), 25 day(s)"/>
    <m/>
    <m/>
    <s v="Low"/>
    <s v="Medium"/>
    <n v="4"/>
    <s v="4. Inconsistent Talent "/>
    <x v="4"/>
    <s v="re-establish performance expectations in current role, drive performance and re-evaluate in 6-12 months "/>
    <s v="Evaluate Fit/Make A Plan - Identify a coaching plan to improve performance"/>
    <m/>
    <m/>
    <s v="Will Hurley"/>
    <s v="Elizabeth Benker"/>
    <s v="Will Hurley"/>
    <m/>
  </r>
  <r>
    <n v="103874"/>
    <x v="5"/>
    <s v="Lead UX Researcher"/>
    <s v="Advanced Professional, UI/UX Researcher-USA"/>
    <s v="Advanced Professional, UI/UX Researcher-USA"/>
    <s v="PT4 - Advanced Professional"/>
    <d v="2022-05-23T00:00:00"/>
    <s v="3 - 5 Years"/>
    <s v="1 year(s), 1 month(s), 21 day(s)"/>
    <s v="Strong"/>
    <s v="Solid"/>
    <s v="Medium"/>
    <s v="High"/>
    <n v="8"/>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s v="No"/>
    <s v="Olga Ziegelman"/>
    <s v="Elizabeth Benker"/>
    <s v="Erin Howard"/>
    <s v="Olga Ziegelman"/>
  </r>
  <r>
    <n v="106302"/>
    <x v="6"/>
    <s v="Lead Research Operations Specialist"/>
    <s v="Advanced Professional, UI/UX Researcher-USA"/>
    <s v="Advanced Professional, UI/UX Researcher-USA"/>
    <s v="PT4 - Advanced Professional"/>
    <d v="2025-08-25T00:00:00"/>
    <s v="0 - 3 Months"/>
    <s v="0 year(s), 2 month(s), 25 day(s)"/>
    <m/>
    <m/>
    <m/>
    <m/>
    <m/>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s v="Recent hire - showing high potential but too early to fully assess"/>
    <s v="No"/>
    <s v="Olga Ziegelman"/>
    <s v="Elizabeth Benker"/>
    <s v="Erin Howard"/>
    <s v="Olga Ziegelman"/>
  </r>
  <r>
    <n v="1324"/>
    <x v="7"/>
    <s v="Professional, Product Management"/>
    <s v="Professional, Product Management"/>
    <s v="Professional, Product Management-USA"/>
    <s v="PT2 - Professional"/>
    <d v="2014-10-06T00:00:00"/>
    <s v="10 - 15 Years"/>
    <s v="0 year(s), 3 month(s), 30 day(s)"/>
    <s v="Solid"/>
    <s v="Solid"/>
    <s v="Medium"/>
    <s v="Low"/>
    <n v="2"/>
    <s v="1. Underperforming Talent "/>
    <x v="5"/>
    <s v="re-assign or manage out of Alteryx "/>
    <s v="Make A Plan -  Identify a plan to improve performance in partnership with HR "/>
    <s v="Andrew has improved, but it has not been self led and it has been slow velocity and lacking accountability, need tomove him to low performance making him in group 1 - underperforming talent"/>
    <s v="No"/>
    <s v="Lindsey Zibell"/>
    <s v="Laura Williams Argilla"/>
    <s v="Lindsey Zibell"/>
    <m/>
  </r>
  <r>
    <n v="105874"/>
    <x v="8"/>
    <s v="Technical Writer"/>
    <s v="Professional, Technical Writer-IND"/>
    <s v="Professional, Technical Writer-IND"/>
    <s v="PT2 - Professional"/>
    <d v="2025-02-10T00:00:00"/>
    <s v="7 - 9 Months"/>
    <s v="0 year(s), 9 month(s), 9 day(s)"/>
    <m/>
    <m/>
    <s v="Medium"/>
    <s v="Medium"/>
    <n v="5"/>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Marcela Abrach"/>
    <s v="Elizabeth Benker"/>
    <s v="Marcela Abrach"/>
    <m/>
  </r>
  <r>
    <n v="105886"/>
    <x v="9"/>
    <s v="Senior Product Designer"/>
    <s v="Sr. Professional, UI/UX Designer-IND"/>
    <s v="Sr. Professional, UI/UX Designer-IND"/>
    <s v="PT3 - Sr. Professional"/>
    <d v="2024-12-30T00:00:00"/>
    <s v="10 - 12 Months"/>
    <s v="0 year(s), 10 month(s), 20 day(s)"/>
    <m/>
    <m/>
    <s v="Medium"/>
    <s v="Medium"/>
    <n v="5"/>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Will Hurley"/>
    <s v="Elizabeth Benker"/>
    <s v="Will Hurley"/>
    <m/>
  </r>
  <r>
    <n v="101560"/>
    <x v="10"/>
    <s v="Professional, Product Management-UKR"/>
    <s v="Professional, Product Management-UKR"/>
    <s v="Professional, Product Management-UKR"/>
    <s v="PT2 - Professional"/>
    <d v="2020-12-15T00:00:00"/>
    <s v="3 - 5 Years"/>
    <s v="0 year(s), 0 month(s), 18 day(s)"/>
    <s v="Solid"/>
    <s v="Strong"/>
    <s v="Medium"/>
    <s v="Medium"/>
    <n v="5"/>
    <s v="9.Top Talent "/>
    <x v="0"/>
    <s v="identify stretch experiences or temporary assignments, increase executive exposure "/>
    <s v="Differentially Invest - Ensure career discussions are happening regualrly? Do they have an individual development plan? What opportunities exist to accelerate development and growth? Revisit talent often to plan for next steps. "/>
    <s v="Time in Job Profile reflects title change from TPM to PM in November, and is not indicative of an actual recent job change. Has been in current role for almost 5 years. _x000a__x000a_Francois is currently the manager but Nicole will complete talent mapping/performance reviews for 2026_x000a__x000a_Indicating promotion readiness - has been operating at a Sr. PM level for some time, taking ownership of a diverse range of issues and taking initiative on the newly formed Cloud Native team to address gaps and ensure projects continue moving forward even in the midst of change. His presence when reaching out to and speaking with customers is excellent, and he has been proactive in working with the CN team to align on various process changes and documentation requirements. Will be working on getting Artem more visibility across the org as a Sr. PM, and to continue focusing on the big picture and broader strategic thinking. "/>
    <s v="Yes"/>
    <s v="Nicole Johnson (Francois Planet)"/>
    <s v="Laura Williams Argilla"/>
    <s v="Nicole Johnson"/>
    <m/>
  </r>
  <r>
    <n v="105905"/>
    <x v="11"/>
    <s v="Associate Data Analyst"/>
    <s v="Associate Professional, Technical Product Management-IND"/>
    <s v="Associate Professional, Technical Product Management-IND"/>
    <s v="PT1 - Associate Professional"/>
    <d v="2025-01-06T00:00:00"/>
    <s v="10 - 12 Months"/>
    <s v="0 year(s), 4 month(s), 18 day(s)"/>
    <m/>
    <m/>
    <s v="Medium"/>
    <s v="Medium"/>
    <n v="5"/>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Hitesh Bakutra"/>
    <s v="Elizabeth Benker"/>
    <s v="Erin Howard"/>
    <s v="Hitesh Bakutra"/>
  </r>
  <r>
    <n v="103538"/>
    <x v="12"/>
    <s v="Product Designer"/>
    <s v="Professional, UI/UX Designer-USA"/>
    <s v="Professional, UI/UX Designer-USA"/>
    <s v="PT2 - Professional"/>
    <d v="2025-09-22T00:00:00"/>
    <s v="0 - 3 Months"/>
    <s v="0 year(s), 1 month(s), 28 day(s)"/>
    <s v="Strong"/>
    <m/>
    <m/>
    <m/>
    <m/>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Yujia Zhao"/>
    <s v="Elizabeth Benker"/>
    <s v="Yujia Zhao"/>
    <m/>
  </r>
  <r>
    <n v="102092"/>
    <x v="13"/>
    <s v="Principal Product Manager"/>
    <s v="Principal Product Manager"/>
    <s v="Principal, Product Management-USA"/>
    <s v="PT5 - Principal"/>
    <d v="2021-07-12T00:00:00"/>
    <s v="3 - 5 Years"/>
    <s v="0 year(s), 5 month(s), 11 day(s)"/>
    <s v="Strong"/>
    <s v="Leading"/>
    <s v="Low"/>
    <s v="Low"/>
    <n v="1"/>
    <s v="1. Underperforming Talent "/>
    <x v="5"/>
    <s v="re-assign or manage out of Alteryx "/>
    <s v="Make A Plan -  Identify a plan to improve performance in partnership with HR "/>
    <m/>
    <m/>
    <s v="Chad Thompson"/>
    <s v="Chad Thompson"/>
    <s v="Chad Thompson"/>
    <m/>
  </r>
  <r>
    <n v="106400"/>
    <x v="14"/>
    <s v="Principal Product Manager"/>
    <s v="Principal, Product Management-GBR"/>
    <s v="Principal, Product Management-GBR"/>
    <s v="PT5 - Principal"/>
    <d v="2025-11-03T00:00:00"/>
    <s v="0 - 3 Months"/>
    <s v="0 year(s), 0 month(s), 16 day(s)"/>
    <m/>
    <m/>
    <m/>
    <m/>
    <m/>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Tomáš Mitana"/>
    <s v="Chad Thompson"/>
    <s v="Tomáš Mitana"/>
    <m/>
  </r>
  <r>
    <n v="104466"/>
    <x v="15"/>
    <s v="Lead Product Manager"/>
    <s v="Advanced Professional, Product Management-AUS"/>
    <s v="Advanced Professional, Product Management-AUS"/>
    <s v="PT4 - Advanced Professional"/>
    <d v="2022-09-19T00:00:00"/>
    <s v="3 - 5 Years"/>
    <s v="1 year(s), 2 month(s), 18 day(s)"/>
    <s v="Strong"/>
    <s v="Strong"/>
    <s v="High"/>
    <s v="High"/>
    <n v="9"/>
    <s v="9.Top Talent "/>
    <x v="0"/>
    <s v="identify stretch experiences or temporary assignments, increase executive exposure "/>
    <s v="Differentially Invest - Ensure career discussions are happening regualrly? Do they have an individual development plan? What opportunities exist to accelerate development and growth? Revisit talent often to plan for next steps. "/>
    <m/>
    <m/>
    <s v="Robert D'Arrigo"/>
    <s v="Chad Thompson"/>
    <s v="Robert D'Arrigo"/>
    <m/>
  </r>
  <r>
    <n v="102042"/>
    <x v="16"/>
    <s v="Professional, Product Management-USA"/>
    <s v="Professional, Product Management-USA"/>
    <s v="Professional, Product Management-USA"/>
    <s v="PT2 - Professional"/>
    <d v="2022-07-18T00:00:00"/>
    <s v="3 - 5 Years"/>
    <s v="1 year(s), 8 month(s), 16 day(s)"/>
    <s v="Strong"/>
    <s v="Solid"/>
    <s v="High"/>
    <s v="High"/>
    <n v="9"/>
    <s v="9.Top Talent "/>
    <x v="0"/>
    <s v="identify stretch experiences or temporary assignments, increase executive exposure "/>
    <s v="Differentially Invest - Ensure career discussions are happening regualrly? Do they have an individual development plan? What opportunities exist to accelerate development and growth? Revisit talent often to plan for next steps. "/>
    <s v="Identified strengths and weaknesses at October Check In, needs significantly more exposure. Wrote a Plans vision strategy, need to get it presented. Could use a wider scope."/>
    <s v="No"/>
    <s v="Lindsey Zibell"/>
    <s v="Laura Williams Argilla"/>
    <s v="Lindsey Zibell"/>
    <m/>
  </r>
  <r>
    <n v="2298"/>
    <x v="17"/>
    <s v="Sr. Principal, Product Management-USA"/>
    <s v="Sr. Principal, Product Management-USA"/>
    <s v="Sr. Principal, Product Management-USA"/>
    <s v="PT6 - Sr. Principal"/>
    <d v="2018-10-29T00:00:00"/>
    <s v="5 - 10 Years"/>
    <s v="0 year(s), 2 month(s), 18 day(s)"/>
    <s v="Leading"/>
    <s v="Leading"/>
    <s v="High"/>
    <s v="High"/>
    <n v="9"/>
    <s v="9.Top Talent "/>
    <x v="0"/>
    <s v="identify stretch experiences or temporary assignments, increase executive exposure "/>
    <s v="Differentially Invest - Ensure career discussions are happening regualrly? Do they have an individual development plan? What opportunities exist to accelerate development and growth? Revisit talent often to plan for next steps. "/>
    <m/>
    <m/>
    <s v="Chad Thompson"/>
    <s v="Chad Thompson"/>
    <m/>
    <m/>
  </r>
  <r>
    <n v="101375"/>
    <x v="18"/>
    <s v="Product Designer"/>
    <s v="Professional, UI/UX Designer-USA"/>
    <s v="Professional, UI/UX Designer-USA"/>
    <s v="PT2 - Professional"/>
    <d v="2020-05-11T00:00:00"/>
    <s v="5 - 10 Years"/>
    <s v="4 year(s), 10 month(s), 18 day(s)"/>
    <s v="Strong"/>
    <s v="Strong"/>
    <s v="Low"/>
    <s v="Low"/>
    <n v="1"/>
    <s v="2. Solid Talent "/>
    <x v="6"/>
    <s v="consider expanding current role, explore lateral/development opportunities "/>
    <s v="Develop in Role - Identify developmental activities to continue to grow their skill and set them up for success for anticiapted progression "/>
    <s v="Can produce solid designs against the requirements on time. Need to be more proactive."/>
    <s v="No"/>
    <s v="Yujia Zhao"/>
    <s v="Elizabeth Benker"/>
    <s v="Yujia Zhao"/>
    <m/>
  </r>
  <r>
    <n v="103231"/>
    <x v="19"/>
    <s v="Lead Product Insight Analyst"/>
    <s v="Lead Product Insight Analyst"/>
    <s v="Advanced Professional, Technical Product Management-IND"/>
    <s v="PT4 - Advanced Professional"/>
    <d v="2022-02-07T00:00:00"/>
    <s v="3 - 5 Years"/>
    <s v="1 year(s), 2 month(s), 18 day(s)"/>
    <s v="Solid"/>
    <s v="Strong"/>
    <s v="High"/>
    <s v="High"/>
    <n v="9"/>
    <s v="9.Top Talent "/>
    <x v="0"/>
    <s v="identify stretch experiences or temporary assignments, increase executive exposure "/>
    <s v="Differentially Invest - Ensure career discussions are happening regualrly? Do they have an individual development plan? What opportunities exist to accelerate development and growth? Revisit talent often to plan for next steps. "/>
    <m/>
    <m/>
    <s v="Hitesh Bakutra"/>
    <s v="Elizabeth Benker"/>
    <s v="Erin Howard"/>
    <s v="Hitesh Bakutra"/>
  </r>
  <r>
    <n v="2074"/>
    <x v="20"/>
    <s v="Lead Product Manager"/>
    <s v="Lead Product Manager"/>
    <s v="Advanced Professional, Product Management-USA"/>
    <s v="PT4 - Advanced Professional"/>
    <d v="2018-04-16T00:00:00"/>
    <s v="5 - 10 Years"/>
    <s v="1 year(s), 5 month(s), 10 day(s)"/>
    <s v="Solid"/>
    <s v="Solid"/>
    <s v="High"/>
    <s v="High"/>
    <n v="9"/>
    <s v="9.Top Talent "/>
    <x v="0"/>
    <s v="identify stretch experiences or temporary assignments, increase executive exposure "/>
    <s v="Differentially Invest - Ensure career discussions are happening regualrly? Do they have an individual development plan? What opportunities exist to accelerate development and growth? Revisit talent often to plan for next steps. "/>
    <m/>
    <s v="Yes"/>
    <s v="Kate Butcher"/>
    <s v="Chad Thompson"/>
    <s v="Kate Butcher"/>
    <m/>
  </r>
  <r>
    <n v="101003"/>
    <x v="21"/>
    <s v="Advanced Professional, Technical Writer-USA"/>
    <s v="Advanced Professional, Technical Writer-USA"/>
    <s v="Advanced Professional, Technical Writer-USA"/>
    <s v="PT4 - Advanced Professional"/>
    <d v="2019-12-09T00:00:00"/>
    <s v="5 - 10 Years"/>
    <s v="1 year(s), 8 month(s), 16 day(s)"/>
    <s v="Strong"/>
    <s v="Strong"/>
    <s v="High"/>
    <s v="Medium"/>
    <n v="6"/>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Marcela Abrach"/>
    <s v="Elizabeth Benker"/>
    <s v="Marcela Abrach"/>
    <m/>
  </r>
  <r>
    <n v="1885"/>
    <x v="22"/>
    <s v="Principal, Product Designer"/>
    <s v="Principal, UI/UX Designer-CZE"/>
    <s v="Principal, UI/UX Designer-CZE"/>
    <s v="PT5 - Principal"/>
    <d v="2017-01-30T00:00:00"/>
    <s v="5 - 10 Years"/>
    <s v="0 year(s), 8 month(s), 18 day(s)"/>
    <s v="Strong"/>
    <s v="Leading"/>
    <s v="High"/>
    <s v="Medium"/>
    <n v="6"/>
    <s v="8. Growth Talent "/>
    <x v="2"/>
    <s v="identify performance barriers, explore portential to expand responsibilties in current role "/>
    <s v="Differentially Invest - Ensure career discussions are happening regualrly? Do they have an individual development plan? What opportunities exist to accelerate development and growth? Revisit talent often to plan for next steps. "/>
    <s v="David is still getting used to Principal position and looking for the right way to have more impact. "/>
    <s v="No"/>
    <s v="Patrik Volek"/>
    <s v="Elizabeth Benker"/>
    <s v="Patrik Volek"/>
    <m/>
  </r>
  <r>
    <n v="105566"/>
    <x v="23"/>
    <s v="Senior Product Analyst"/>
    <s v="Sr. Professional, Technical Product Management-IND"/>
    <s v="Sr. Professional, Technical Product Management-IND"/>
    <s v="PT3 - Sr. Professional"/>
    <d v="2024-09-02T00:00:00"/>
    <s v="13 - 18 Months"/>
    <s v="1 year(s), 2 month(s), 17 day(s)"/>
    <m/>
    <s v="Solid"/>
    <s v="Medium"/>
    <s v="High"/>
    <n v="8"/>
    <s v="8. Growth Talent "/>
    <x v="2"/>
    <s v="identify performance barriers, explore portential to expand responsibilties in current role "/>
    <s v="Differentially Invest - Ensure career discussions are happening regualrly? Do they have an individual development plan? What opportunities exist to accelerate development and growth? Revisit talent often to plan for next steps. "/>
    <m/>
    <m/>
    <s v="Hitesh Bakutra"/>
    <s v="Elizabeth Benker"/>
    <s v="Erin Howard"/>
    <s v="Hitesh Bakutra"/>
  </r>
  <r>
    <n v="2011"/>
    <x v="24"/>
    <s v="Lead Pricing Manager"/>
    <s v="Advanced Professional, Technical Program Management-USA"/>
    <s v="Advanced Professional, Technical Program Management-USA"/>
    <s v="PT4 - Advanced Professional"/>
    <d v="2018-02-05T00:00:00"/>
    <s v="5 - 10 Years"/>
    <s v="1 year(s), 8 month(s), 16 day(s)"/>
    <s v="Strong"/>
    <s v="Solid"/>
    <s v="High"/>
    <s v="Low"/>
    <n v="3"/>
    <s v="3. Expert Talent "/>
    <x v="7"/>
    <s v="leverage experience to mentor and growth others "/>
    <s v="Elad and I had a discussion about his career path. He has reached the limits of growth in PE. We aligned that he needs to explore a broader GTM architect role otuside of PE. Over the next 6 mos, I would like him to take ownership of adjacent areas such as what would it take to support In-app purchase in collaboration with the PE team and the broader GTM org etc. He is also going to take courses to train for such a role. "/>
    <m/>
    <m/>
    <s v="Ani Worlikar"/>
    <s v="Ani Worlikar"/>
    <m/>
    <m/>
  </r>
  <r>
    <n v="102702"/>
    <x v="25"/>
    <s v="Senior Product Designer"/>
    <s v="Sr. Professional, UI/UX Designer-AUS"/>
    <s v="Sr. Professional, UI/UX Designer-AUS"/>
    <s v="PT3 - Sr. Professional"/>
    <d v="2021-10-07T00:00:00"/>
    <s v="5 - 10 Years"/>
    <s v="4 year(s), 1 month(s), 12 day(s)"/>
    <s v="Solid"/>
    <m/>
    <s v="High"/>
    <s v="High"/>
    <n v="9"/>
    <s v="9.Top Talent "/>
    <x v="0"/>
    <s v="identify stretch experiences or temporary assignments, increase executive exposure "/>
    <s v="Differentially Invest - Ensure career discussions are happening regualrly? Do they have an individual development plan? What opportunities exist to accelerate development and growth? Revisit talent often to plan for next steps. "/>
    <m/>
    <m/>
    <s v="Will Hurley"/>
    <s v="Elizabeth Benker"/>
    <s v="Will Hurley"/>
    <m/>
  </r>
  <r>
    <n v="102844"/>
    <x v="26"/>
    <s v="Advanced Professional, UI/UX Designer-USA"/>
    <s v="Advanced Professional, UI/UX Designer-USA"/>
    <s v="Advanced Professional, UI/UX Designer-USA"/>
    <s v="PT4 - Advanced Professional"/>
    <d v="2021-11-08T00:00:00"/>
    <s v="3 - 5 Years"/>
    <s v="1 year(s), 8 month(s), 16 day(s)"/>
    <s v="Leading"/>
    <s v="Strong"/>
    <s v="High"/>
    <s v="Medium"/>
    <n v="6"/>
    <s v="6.High Impact Talent"/>
    <x v="3"/>
    <s v="expand responsibilities in current role, identify key experiences and increase executive exposure"/>
    <s v="Differentially Invest - Ensure career discussions are happening regualrly? Do they have an individual development plan? What opportunities exist to accelerate development and growth? Revisit talent often to plan for next steps. "/>
    <m/>
    <s v="No"/>
    <s v="Elizabeth Benker"/>
    <s v="Elizabeth Benker"/>
    <m/>
    <m/>
  </r>
  <r>
    <n v="106330"/>
    <x v="27"/>
    <s v="Pricing Strategy Analyst"/>
    <s v="Professional, Competitive Intelligence-USA"/>
    <s v="Professional, Competitive Intelligence-USA"/>
    <s v="PT2 - Professional"/>
    <d v="2025-09-22T00:00:00"/>
    <s v="0 - 3 Months"/>
    <s v="0 year(s), 1 month(s), 28 day(s)"/>
    <m/>
    <m/>
    <m/>
    <m/>
    <m/>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s v="Recent hire. Shows good potential. Continue to develop over the next 6 mos"/>
    <s v="No"/>
    <s v="Ani Worlikar"/>
    <s v="Ani Worlikar"/>
    <m/>
    <m/>
  </r>
  <r>
    <n v="100735"/>
    <x v="28"/>
    <s v="Product Manager"/>
    <s v="Professional, Product Management-USA"/>
    <s v="Professional, Product Management-USA"/>
    <s v="PT2 - Professional"/>
    <d v="2019-08-12T00:00:00"/>
    <s v="5 - 10 Years"/>
    <s v="3 year(s), 5 month(s), 18 day(s)"/>
    <s v="Solid"/>
    <s v="Solid"/>
    <s v="Medium"/>
    <s v="Medium"/>
    <n v="5"/>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s v="No"/>
    <s v="Rachel Howard"/>
    <s v="Laura Williams Argilla"/>
    <s v="Rachel Howard"/>
    <m/>
  </r>
  <r>
    <n v="102824"/>
    <x v="29"/>
    <s v="Sr. Professional, Technical Writer-USA"/>
    <s v="Sr. Professional, Technical Writer-USA"/>
    <s v="Sr. Professional, Technical Writer-USA"/>
    <s v="PT3 - Sr. Professional"/>
    <d v="2021-11-08T00:00:00"/>
    <s v="3 - 5 Years"/>
    <s v="0 year(s), 8 month(s), 17 day(s)"/>
    <s v="Strong"/>
    <s v="Leading"/>
    <s v="Medium"/>
    <s v="Medium"/>
    <n v="5"/>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Marcela Abrach"/>
    <s v="Elizabeth Benker"/>
    <s v="Marcela Abrach"/>
    <m/>
  </r>
  <r>
    <n v="106012"/>
    <x v="30"/>
    <s v="UI/UX Researcher"/>
    <s v="Professional, UI/UX Researcher-USA"/>
    <s v="Professional, UI/UX Researcher-USA"/>
    <s v="PT2 - Professional"/>
    <d v="2025-02-18T00:00:00"/>
    <s v="7 - 9 Months"/>
    <s v="0 year(s), 9 month(s), 1 day(s)"/>
    <m/>
    <m/>
    <s v="Medium"/>
    <s v="Medium"/>
    <n v="5"/>
    <s v="8. Growth Talent "/>
    <x v="2"/>
    <s v="identify performance barriers, explore portential to expand responsibilties in current role "/>
    <s v="Differentially Invest - Ensure career discussions are happening regualrly? Do they have an individual development plan? What opportunities exist to accelerate development and growth? Revisit talent often to plan for next steps. "/>
    <m/>
    <s v="No"/>
    <s v="Olga Ziegelman"/>
    <s v="Elizabeth Benker"/>
    <s v="Erin Howard"/>
    <s v="Olga Ziegelman"/>
  </r>
  <r>
    <n v="101443"/>
    <x v="31"/>
    <s v="Lead Product Manager"/>
    <s v="Advanced Professional, Product Management-USA"/>
    <s v="Advanced Professional, Product Management-USA"/>
    <s v="PT4 - Advanced Professional"/>
    <d v="2020-08-24T00:00:00"/>
    <s v="5 - 10 Years"/>
    <s v="1 year(s), 5 month(s), 18 day(s)"/>
    <s v="Solid"/>
    <s v="Strong"/>
    <s v="Medium"/>
    <s v="Medium"/>
    <n v="5"/>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s v="No"/>
    <s v="Nicole Johnson"/>
    <s v="Laura Williams Argilla"/>
    <s v="Nicole Johnson"/>
    <m/>
  </r>
  <r>
    <n v="105985"/>
    <x v="32"/>
    <s v="Product Analyst"/>
    <s v="Professional, Technical Product Management-IND"/>
    <s v="Professional, Technical Product Management-IND"/>
    <s v="PT2 - Professional"/>
    <d v="2025-02-19T00:00:00"/>
    <s v="7 - 9 Months"/>
    <s v="0 year(s), 9 month(s), 0 day(s)"/>
    <m/>
    <m/>
    <s v="High"/>
    <s v="High"/>
    <n v="9"/>
    <s v="9.Top Talent "/>
    <x v="0"/>
    <s v="identify stretch experiences or temporary assignments, increase executive exposure "/>
    <s v="Differentially Invest - Ensure career discussions are happening regualrly? Do they have an individual development plan? What opportunities exist to accelerate development and growth? Revisit talent often to plan for next steps. "/>
    <m/>
    <m/>
    <s v="Hitesh Bakutra"/>
    <s v="Elizabeth Benker"/>
    <s v="Erin Howard"/>
    <s v="Hitesh Bakutra"/>
  </r>
  <r>
    <n v="105835"/>
    <x v="33"/>
    <s v="Technical Writer"/>
    <s v="Professional, Technical Writer-IND"/>
    <s v="Professional, Technical Writer-IND"/>
    <s v="PT2 - Professional"/>
    <d v="2025-01-20T00:00:00"/>
    <s v="7 - 9 Months"/>
    <s v="0 year(s), 9 month(s), 30 day(s)"/>
    <m/>
    <m/>
    <s v="Medium"/>
    <s v="Medium"/>
    <n v="5"/>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Marcela Abrach"/>
    <s v="Elizabeth Benker"/>
    <s v="Marcela Abrach"/>
    <m/>
  </r>
  <r>
    <n v="100583"/>
    <x v="34"/>
    <s v="Sr. Product Delivery Program Manager"/>
    <s v="Sr. Professional, Technical Program Management-CZE"/>
    <s v="Sr. Professional, Technical Program Management-CZE"/>
    <s v="PT3 - Sr. Professional"/>
    <d v="2019-05-13T00:00:00"/>
    <s v="5 - 10 Years"/>
    <s v="1 year(s), 8 month(s), 18 day(s)"/>
    <s v="Solid"/>
    <s v="Strong"/>
    <s v="High"/>
    <s v="High"/>
    <n v="9"/>
    <s v="9.Top Talent "/>
    <x v="0"/>
    <s v="identify stretch experiences or temporary assignments, increase executive exposure "/>
    <s v="Differentially Invest - Ensure career discussions are happening regualrly? Do they have an individual development plan? What opportunities exist to accelerate development and growth? Revisit talent often to plan for next steps. "/>
    <s v="Has much potential with move to new CSIG team to advance with new responsbilities."/>
    <s v="No"/>
    <s v="Carolyn Blanco Losada"/>
    <s v="Elizabeth Benker"/>
    <s v="Erin Howard"/>
    <s v="Carolyn Blanco Losada"/>
  </r>
  <r>
    <n v="105280"/>
    <x v="35"/>
    <s v="UX Copywriter"/>
    <s v="Professional, UI/UX Designer-IND"/>
    <s v="Professional, UI/UX Designer-IND"/>
    <s v="PT2 - Professional"/>
    <d v="2024-02-21T00:00:00"/>
    <s v="19 - 24 Months"/>
    <s v="1 year(s), 8 month(s), 29 day(s)"/>
    <m/>
    <s v="Solid"/>
    <s v="High"/>
    <s v="Medium"/>
    <n v="6"/>
    <s v="6.High Impact Talent"/>
    <x v="3"/>
    <s v="expand responsibilities in current role, identify key experiences and increase executive exposure"/>
    <s v="Differentially Invest - Ensure career discussions are happening regualrly? Do they have an individual development plan? What opportunities exist to accelerate development and growth? Revisit talent often to plan for next steps. "/>
    <m/>
    <s v="Yes"/>
    <s v="Elizabeth Benker"/>
    <s v="Elizabeth Benker"/>
    <m/>
    <m/>
  </r>
  <r>
    <n v="104041"/>
    <x v="36"/>
    <s v="Sr. Product Manager"/>
    <s v="Sr. Professional, Product Management-USA"/>
    <s v="Sr. Professional, Product Management-USA"/>
    <s v="PT3 - Sr. Professional"/>
    <d v="2022-06-21T00:00:00"/>
    <s v="3 - 5 Years"/>
    <s v="2 year(s), 10 month(s), 16 day(s)"/>
    <s v="Solid"/>
    <s v="Strong"/>
    <s v="Medium"/>
    <s v="Medium"/>
    <n v="5"/>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s v="No"/>
    <s v="Kate Butcher"/>
    <s v="Chad Thompson"/>
    <s v="Kate Butcher"/>
    <m/>
  </r>
  <r>
    <n v="102723"/>
    <x v="37"/>
    <s v="UX Researcher"/>
    <s v="Professional, UI/UX Researcher-USA"/>
    <s v="Professional, UI/UX Researcher-USA"/>
    <s v="PT2 - Professional"/>
    <d v="2021-10-18T00:00:00"/>
    <s v="3 - 5 Years"/>
    <s v="4 year(s), 1 month(s), 1 day(s)"/>
    <s v="Solid"/>
    <s v="Strong"/>
    <s v="High"/>
    <s v="Medium"/>
    <n v="6"/>
    <s v="9.Top Talent "/>
    <x v="0"/>
    <s v="identify stretch experiences or temporary assignments, increase executive exposure "/>
    <s v="Differentially Invest - Ensure career discussions are happening regualrly? Do they have an individual development plan? What opportunities exist to accelerate development and growth? Revisit talent often to plan for next steps. "/>
    <s v="Has been operating at a senior level - supporting the Canvas pillar. Great soft skills, fantatsic team player, strong research skills. Strong positive feedback from other UXR, Design and PM on his work."/>
    <s v="Yes"/>
    <s v="Olga Ziegelman"/>
    <s v="Elizabeth Benker"/>
    <s v="Erin Howard"/>
    <m/>
  </r>
  <r>
    <n v="106369"/>
    <x v="38"/>
    <s v="Sr. Principal Product Manager"/>
    <s v="Sr. Principal, Product Management-USA"/>
    <s v="Sr. Principal, Product Management-USA"/>
    <s v="PT6 - Sr. Principal"/>
    <d v="2025-10-13T00:00:00"/>
    <s v="0 - 3 Months"/>
    <s v="0 year(s), 1 month(s), 6 day(s)"/>
    <m/>
    <m/>
    <m/>
    <m/>
    <m/>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Chad Thompson"/>
    <s v="Chad Thompson"/>
    <m/>
    <m/>
  </r>
  <r>
    <n v="103074"/>
    <x v="39"/>
    <s v="Lead Product Designer"/>
    <s v="Advanced Professional, UI/UX Designer-AUS"/>
    <s v="Advanced Professional, UI/UX Designer-AUS"/>
    <s v="PT4 - Advanced Professional"/>
    <d v="2022-01-17T00:00:00"/>
    <s v="3 - 5 Years"/>
    <s v="2 year(s), 8 month(s), 18 day(s)"/>
    <s v="Strong"/>
    <m/>
    <s v="Medium"/>
    <s v="High"/>
    <n v="8"/>
    <s v="8. Growth Talent "/>
    <x v="2"/>
    <s v="identify performance barriers, explore portential to expand responsibilties in current role "/>
    <s v="Differentially Invest - Ensure career discussions are happening regualrly? Do they have an individual development plan? What opportunities exist to accelerate development and growth? Revisit talent often to plan for next steps. "/>
    <m/>
    <m/>
    <s v="Will Hurley"/>
    <s v="Elizabeth Benker"/>
    <s v="Will Hurley"/>
    <m/>
  </r>
  <r>
    <n v="104765"/>
    <x v="40"/>
    <s v="Sr. Product Manager"/>
    <s v="Sr. Professional, Product Management-CZE"/>
    <s v="Sr. Professional, Product Management-CZE"/>
    <s v="PT3 - Sr. Professional"/>
    <d v="2023-02-01T00:00:00"/>
    <s v="2 - 3 Years"/>
    <s v="1 year(s), 8 month(s), 18 day(s)"/>
    <s v="Strong"/>
    <s v="Solid"/>
    <s v="Low"/>
    <s v="Medium"/>
    <n v="4"/>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s v="No"/>
    <s v="Rachel Howard"/>
    <s v="Laura Williams Argilla"/>
    <s v="Rachel Howard"/>
    <m/>
  </r>
  <r>
    <n v="100807"/>
    <x v="41"/>
    <s v="Lead Product Designer"/>
    <s v="Advanced Professional, UI/UX Designer-USA"/>
    <s v="Advanced Professional, UI/UX Designer-USA"/>
    <s v="PT4 - Advanced Professional"/>
    <d v="2019-09-16T00:00:00"/>
    <s v="5 - 10 Years"/>
    <s v="2 year(s), 8 month(s), 14 day(s)"/>
    <s v="Strong"/>
    <s v="Strong"/>
    <s v="Medium"/>
    <s v="Medium"/>
    <n v="5"/>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s v="Will be on hold for a while goes on Maternity leave in February (performing as expected for P4 but has things to work on, not ready for P5)"/>
    <s v="No"/>
    <s v="Katie Fiscus"/>
    <s v="Elizabeth Benker"/>
    <s v="Katie Fiscus"/>
    <m/>
  </r>
  <r>
    <n v="102464"/>
    <x v="42"/>
    <s v="Professional, UI/UX Designer-USA"/>
    <s v="Professional, UI/UX Designer-USA"/>
    <s v="Professional, UI/UX Designer-USA"/>
    <s v="PT2 - Professional"/>
    <d v="2021-08-30T00:00:00"/>
    <s v="3 - 5 Years"/>
    <s v="0 year(s), 1 month(s), 22 day(s)"/>
    <s v="Strong"/>
    <s v="Leading"/>
    <s v="Medium"/>
    <s v="Medium"/>
    <n v="5"/>
    <s v="1. Underperforming Talent "/>
    <x v="5"/>
    <s v="re-assign or manage out of Alteryx "/>
    <s v="Make A Plan -  Identify a plan to improve performance in partnership with HR "/>
    <s v="PEP was introducted, departed on 11/24 (performing Low)"/>
    <s v="No"/>
    <s v="Katie Fiscus"/>
    <s v="Elizabeth Benker"/>
    <s v="Katie Fiscus"/>
    <m/>
  </r>
  <r>
    <n v="100632"/>
    <x v="43"/>
    <s v="Technical Writer"/>
    <s v="Professional, Technical Writer-CZE"/>
    <s v="Professional, Technical Writer-CZE"/>
    <s v="PT2 - Professional"/>
    <d v="2022-05-02T00:00:00"/>
    <s v="3 - 5 Years"/>
    <s v="3 year(s), 6 month(s), 17 day(s)"/>
    <s v="Solid"/>
    <s v="Solid"/>
    <s v="Medium"/>
    <s v="Medium"/>
    <n v="5"/>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Marcela Abrach"/>
    <s v="Elizabeth Benker"/>
    <s v="Marcela Abrach"/>
    <m/>
  </r>
  <r>
    <n v="102959"/>
    <x v="44"/>
    <s v="Sr. Product Manager"/>
    <s v="Sr. Professional, Product Management-CZE"/>
    <s v="Sr. Professional, Product Management-CZE"/>
    <s v="PT3 - Sr. Professional"/>
    <d v="2022-02-01T00:00:00"/>
    <s v="3 - 5 Years"/>
    <s v="1 year(s), 2 month(s), 18 day(s)"/>
    <s v="Strong"/>
    <s v="Solid"/>
    <s v="Medium"/>
    <s v="Medium"/>
    <n v="5"/>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s v="Francois is currently the manager but Nicole will complete talent mapping/performance reviews for 2026"/>
    <s v="No"/>
    <s v="Nicole Johnson (Francois Planet)"/>
    <s v="Laura Williams Argilla"/>
    <s v="Nicole Johnson"/>
    <m/>
  </r>
  <r>
    <n v="103397"/>
    <x v="45"/>
    <s v="Senior User Interface Designer"/>
    <s v="Sr. Professional, UI/UX Designer-USA"/>
    <s v="Sr. Professional, UI/UX Designer-USA"/>
    <s v="PT3 - Sr. Professional"/>
    <d v="2022-02-07T00:00:00"/>
    <s v="3 - 5 Years"/>
    <s v="3 year(s), 9 month(s), 12 day(s)"/>
    <s v="Strong"/>
    <s v="Strong"/>
    <s v="Medium"/>
    <s v="High"/>
    <n v="8"/>
    <s v="9.Top Talent "/>
    <x v="0"/>
    <s v="identify stretch experiences or temporary assignments, increase executive exposure "/>
    <s v="Differentially Invest - Ensure career discussions are happening regualrly? Do they have an individual development plan? What opportunities exist to accelerate development and growth? Revisit talent often to plan for next steps. "/>
    <m/>
    <s v="Yes"/>
    <s v="Elizabeth Cardinal"/>
    <s v="Elizabeth Benker"/>
    <s v="Elizabeth Cardinal"/>
    <m/>
  </r>
  <r>
    <n v="102065"/>
    <x v="46"/>
    <s v="Lead Product Designer"/>
    <s v="Lead Product Designer"/>
    <s v="Advanced Professional, UI/UX Designer-USA"/>
    <s v="PT4 - Advanced Professional"/>
    <d v="2021-06-14T00:00:00"/>
    <s v="3 - 5 Years"/>
    <s v="0 year(s), 5 month(s), 11 day(s)"/>
    <s v="Solid"/>
    <s v="Solid"/>
    <s v="Medium"/>
    <s v="Medium"/>
    <n v="5"/>
    <s v="8. Growth Talent "/>
    <x v="2"/>
    <s v="identify performance barriers, explore portential to expand responsibilties in current role "/>
    <s v="Differentially Invest - Ensure career discussions are happening regualrly? Do they have an individual development plan? What opportunities exist to accelerate development and growth? Revisit talent often to plan for next steps. "/>
    <s v="Will want to evaluate for next year on promotion (performing high for a P4)"/>
    <s v="No"/>
    <s v="Katie Fiscus"/>
    <s v="Elizabeth Benker"/>
    <s v="Katie Fiscus"/>
    <m/>
  </r>
  <r>
    <n v="101254"/>
    <x v="47"/>
    <s v="Sr. Product Manager"/>
    <s v="Sr. Professional, Product Management-USA"/>
    <s v="Sr. Professional, Product Management-USA"/>
    <s v="PT3 - Sr. Professional"/>
    <d v="2020-03-09T00:00:00"/>
    <s v="5 - 10 Years"/>
    <s v="1 year(s), 1 month(s), 21 day(s)"/>
    <s v="Strong"/>
    <s v="Solid"/>
    <s v="Medium"/>
    <s v="Medium"/>
    <n v="5"/>
    <s v="4. Inconsistent Talent "/>
    <x v="4"/>
    <s v="re-establish performance expectations in current role, drive performance and re-evaluate in 6-12 months "/>
    <s v="Evaluate Fit/Make A Plan - Identify a coaching plan to improve performance"/>
    <m/>
    <m/>
    <s v="Elizabeth Cardinal"/>
    <s v="Elizabeth Benker"/>
    <s v="Elizabeth Cardinal"/>
    <m/>
  </r>
  <r>
    <n v="104925"/>
    <x v="48"/>
    <s v="Sr. Professional, Product Management-GBR"/>
    <s v="Sr. Professional, Product Management-GBR"/>
    <s v="Sr. Professional, Product Management-GBR"/>
    <s v="PT3 - Sr. Professional"/>
    <d v="2023-06-01T00:00:00"/>
    <s v="2 - 3 Years"/>
    <s v="0 year(s), 8 month(s), 6 day(s)"/>
    <s v="Strong"/>
    <s v="Strong"/>
    <s v="Medium"/>
    <s v="High"/>
    <n v="8"/>
    <s v="9.Top Talent "/>
    <x v="0"/>
    <s v="identify stretch experiences or temporary assignments, increase executive exposure "/>
    <s v="Differentially Invest - Ensure career discussions are happening regualrly? Do they have an individual development plan? What opportunities exist to accelerate development and growth? Revisit talent often to plan for next steps. "/>
    <m/>
    <s v="Yes"/>
    <s v="Kate Butcher"/>
    <s v="Chad Thompson"/>
    <s v="Chad Thompson"/>
    <m/>
  </r>
  <r>
    <n v="106327"/>
    <x v="49"/>
    <s v="Product Designer"/>
    <s v="Professional, UI/UX Designer-USA"/>
    <s v="Professional, UI/UX Designer-USA"/>
    <s v="PT2 - Professional"/>
    <d v="2025-09-22T00:00:00"/>
    <s v="0 - 3 Months"/>
    <s v="0 year(s), 1 month(s), 28 day(s)"/>
    <m/>
    <m/>
    <m/>
    <m/>
    <m/>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s v="Even though early, strong indicator that she would be performing at P3 level in no time, after further onboarding."/>
    <s v="No"/>
    <s v="Yujia Zhao"/>
    <s v="Elizabeth Benker"/>
    <s v="Yujia Zhao"/>
    <m/>
  </r>
  <r>
    <n v="102667"/>
    <x v="50"/>
    <s v="Sr. Professional, UI/UX Researcher-USA"/>
    <s v="Sr. Professional, UI/UX Researcher-USA"/>
    <s v="Sr. Professional, UI/UX Researcher-USA"/>
    <s v="PT3 - Sr. Professional"/>
    <d v="2021-10-25T00:00:00"/>
    <s v="3 - 5 Years"/>
    <s v="2 year(s), 8 month(s), 14 day(s)"/>
    <s v="Strong"/>
    <s v="Strong"/>
    <s v="Medium"/>
    <s v="Medium"/>
    <n v="5"/>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s v="No"/>
    <s v="Olga Ziegelman"/>
    <s v="Elizabeth Benker"/>
    <s v="Erin Howard"/>
    <s v="Olga Ziegelman"/>
  </r>
  <r>
    <n v="105299"/>
    <x v="51"/>
    <s v="Senior Quantitative UX Researcher"/>
    <s v="Sr. Professional, UI/UX Designer-IND"/>
    <s v="Sr. Professional, UI/UX Designer-IND"/>
    <s v="PT3 - Sr. Professional"/>
    <d v="2024-03-18T00:00:00"/>
    <s v="19 - 24 Months"/>
    <s v="1 year(s), 8 month(s), 1 day(s)"/>
    <m/>
    <s v="Solid"/>
    <s v="Medium"/>
    <s v="Medium"/>
    <n v="5"/>
    <s v="2. Solid Talent "/>
    <x v="6"/>
    <s v="consider expanding current role, explore lateral/development opportunities "/>
    <s v="Develop in Role - Identify developmental activities to continue to grow their skill and set them up for success for anticiapted progression "/>
    <s v="Very motivated, trying hard but struggling with soft skills. Operating on a mid level more than the senior than she is. Have been coaching, focusing on communication and stakeholder management."/>
    <s v="No"/>
    <s v="Olga Ziegelman"/>
    <s v="Elizabeth Benker"/>
    <s v="Erin Howard"/>
    <s v="Olga Ziegelman"/>
  </r>
  <r>
    <n v="105362"/>
    <x v="52"/>
    <s v="Senior Product Manager"/>
    <s v="Sr. Professional, Product Management-IND"/>
    <s v="Sr. Professional, Product Management-IND"/>
    <s v="PT3 - Sr. Professional"/>
    <d v="2024-06-10T00:00:00"/>
    <s v="13 - 18 Months"/>
    <s v="1 year(s), 5 month(s), 9 day(s)"/>
    <m/>
    <s v="Solid"/>
    <s v="Medium"/>
    <s v="Medium"/>
    <n v="5"/>
    <s v="4. Inconsistent Talent "/>
    <x v="4"/>
    <s v="re-establish performance expectations in current role, drive performance and re-evaluate in 6-12 months "/>
    <s v="Evaluate Fit/Make A Plan - Identify a coaching plan to improve performance"/>
    <m/>
    <m/>
    <s v="Tomáš Mitana"/>
    <s v="Chad Thompson"/>
    <m/>
    <m/>
  </r>
  <r>
    <n v="100436"/>
    <x v="53"/>
    <s v="Sr. Product Manager"/>
    <s v="Sr. Professional, Product Management-USA"/>
    <s v="Sr. Professional, Product Management-USA"/>
    <s v="PT3 - Sr. Professional"/>
    <d v="2020-01-13T00:00:00"/>
    <s v="5 - 10 Years"/>
    <s v="2 year(s), 2 month(s), 12 day(s)"/>
    <s v="Solid"/>
    <m/>
    <s v="Medium"/>
    <s v="Low"/>
    <n v="2"/>
    <s v="4. Inconsistent Talent "/>
    <x v="4"/>
    <s v="re-establish performance expectations in current role, drive performance and re-evaluate in 6-12 months "/>
    <s v="Evaluate Fit/Make A Plan - Identify a coaching plan to improve performance"/>
    <m/>
    <s v="No"/>
    <s v="Kate Butcher"/>
    <s v="Chad Thompson"/>
    <s v="Kate Butcher"/>
    <m/>
  </r>
  <r>
    <n v="105619"/>
    <x v="54"/>
    <s v="UX Designer"/>
    <s v="Professional, UI/UX Designer-IND"/>
    <s v="Professional, UI/UX Designer-IND"/>
    <s v="PT2 - Professional"/>
    <d v="2024-09-16T00:00:00"/>
    <s v="13 - 18 Months"/>
    <s v="1 year(s), 2 month(s), 3 day(s)"/>
    <m/>
    <s v="Solid"/>
    <s v="Low"/>
    <s v="Medium"/>
    <n v="4"/>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s v="Manvith's performance in the past was somewhat inconsistent but showed a significant growth recently"/>
    <s v="No"/>
    <s v="Patrik Volek"/>
    <s v="Elizabeth Benker"/>
    <s v="Patrik Volek"/>
    <m/>
  </r>
  <r>
    <n v="2253"/>
    <x v="55"/>
    <s v="Lead Product Manager"/>
    <s v="Advanced Professional, Product Management-CZE"/>
    <s v="Advanced Professional, Product Management-CZE"/>
    <s v="PT4 - Advanced Professional"/>
    <d v="2018-10-01T00:00:00"/>
    <s v="5 - 10 Years"/>
    <s v="0 year(s), 8 month(s), 18 day(s)"/>
    <s v="Solid"/>
    <s v="Strong"/>
    <s v="Medium"/>
    <s v="Medium"/>
    <n v="5"/>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s v="No"/>
    <s v="Rachel Howard"/>
    <s v="Laura Williams Argilla"/>
    <s v="Rachel Howard"/>
    <m/>
  </r>
  <r>
    <n v="104252"/>
    <x v="56"/>
    <s v="Senior Product Manager"/>
    <s v="Sr. Professional, Product Management-AUS"/>
    <s v="Sr. Professional, Product Management-AUS"/>
    <s v="PT3 - Sr. Professional"/>
    <d v="2022-08-22T00:00:00"/>
    <s v="3 - 5 Years"/>
    <s v="3 year(s), 2 month(s), 28 day(s)"/>
    <s v="Solid"/>
    <s v="Leading"/>
    <s v="Medium"/>
    <s v="Medium"/>
    <n v="5"/>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Robert D'Arrigo"/>
    <s v="Chad Thompson"/>
    <s v="Robert D'Arrigo"/>
    <m/>
  </r>
  <r>
    <n v="104712"/>
    <x v="57"/>
    <s v="Sr. Principal Product Manager"/>
    <s v="Sr. Principal Product Manager"/>
    <s v="Sr. Principal, Product Management-USA"/>
    <s v="PT6 - Sr. Principal"/>
    <d v="2022-12-05T00:00:00"/>
    <s v="2 - 3 Years"/>
    <s v="0 year(s), 5 month(s), 11 day(s)"/>
    <s v="Strong"/>
    <s v="Solid"/>
    <s v="Medium"/>
    <s v="Low"/>
    <n v="2"/>
    <s v="4. Inconsistent Talent "/>
    <x v="4"/>
    <s v="re-establish performance expectations in current role, drive performance and re-evaluate in 6-12 months "/>
    <s v="Evaluate Fit/Make A Plan - Identify a coaching plan to improve performance"/>
    <m/>
    <s v="No"/>
    <s v="Kate Butcher"/>
    <s v="Chad Thompson"/>
    <s v="Kate Butcher"/>
    <m/>
  </r>
  <r>
    <n v="104468"/>
    <x v="58"/>
    <s v="Sr. Professional, Product Management-USA"/>
    <s v="Sr. Professional, Product Management-USA"/>
    <s v="Sr. Professional, Product Management-USA"/>
    <s v="PT3 - Sr. Professional"/>
    <d v="2022-09-26T00:00:00"/>
    <s v="3 - 5 Years"/>
    <s v="0 year(s), 8 month(s), 17 day(s)"/>
    <s v="Strong"/>
    <s v="Leading"/>
    <s v="Medium"/>
    <s v="Medium"/>
    <n v="5"/>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s v="Promoted last year, continuing to meet and often exceed expectations"/>
    <s v="No"/>
    <s v="Lindsey Zibell"/>
    <s v="Laura Williams Argilla"/>
    <s v="Lindsey Zibell"/>
    <m/>
  </r>
  <r>
    <n v="106050"/>
    <x v="59"/>
    <s v="Product Manager"/>
    <s v="Professional, Product Management-USA"/>
    <s v="Professional, Product Management-USA"/>
    <s v="PT2 - Professional"/>
    <d v="2025-03-10T00:00:00"/>
    <s v="7 - 9 Months"/>
    <s v="0 year(s), 8 month(s), 9 day(s)"/>
    <m/>
    <m/>
    <s v="Medium"/>
    <s v="Medium"/>
    <n v="5"/>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Chad Thompson"/>
    <s v="Chad Thompson"/>
    <s v="Chad Thompson"/>
    <m/>
  </r>
  <r>
    <n v="1280"/>
    <x v="60"/>
    <s v="Sr. Professional, Product Management-USA"/>
    <s v="Sr. Professional, Product Management-USA"/>
    <s v="Sr. Professional, Product Management-USA"/>
    <s v="PT3 - Sr. Professional"/>
    <d v="2014-03-17T00:00:00"/>
    <s v="10 - 15 Years"/>
    <s v="1 year(s), 8 month(s), 16 day(s)"/>
    <s v="Strong"/>
    <s v="Leading"/>
    <s v="Medium"/>
    <s v="Medium"/>
    <n v="5"/>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s v="No"/>
    <s v="Nicole Johnson"/>
    <s v="Laura Williams Argilla"/>
    <s v="Nicole Johnson"/>
    <m/>
  </r>
  <r>
    <n v="104112"/>
    <x v="61"/>
    <s v="Professional, Product Management-USA"/>
    <s v="Professional, Product Management-USA"/>
    <s v="Professional, Product Management-USA"/>
    <s v="PT2 - Professional"/>
    <d v="2022-07-18T00:00:00"/>
    <s v="3 - 5 Years"/>
    <s v="0 year(s), 8 month(s), 17 day(s)"/>
    <s v="Solid"/>
    <s v="Strong"/>
    <s v="Low"/>
    <s v="Medium"/>
    <n v="4"/>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s v="No"/>
    <s v="Rachel Howard"/>
    <s v="Laura Williams Argilla"/>
    <s v="Rachel Howard"/>
    <m/>
  </r>
  <r>
    <n v="100351"/>
    <x v="62"/>
    <s v="Sr. Professional, Product Management-UKR"/>
    <s v="Sr. Professional, Product Management-UKR"/>
    <s v="Sr. Professional, Product Management-UKR"/>
    <s v="PT3 - Sr. Professional"/>
    <d v="2019-02-04T00:00:00"/>
    <s v="5 - 10 Years"/>
    <s v="1 year(s), 8 month(s), 18 day(s)"/>
    <s v="Leading"/>
    <s v="Strong"/>
    <s v="Medium"/>
    <s v="Medium"/>
    <n v="5"/>
    <s v="6.High Impact Talent"/>
    <x v="3"/>
    <s v="expand responsibilities in current role, identify key experiences and increase executive exposure"/>
    <s v="Differentially Invest - Ensure career discussions are happening regualrly? Do they have an individual development plan? What opportunities exist to accelerate development and growth? Revisit talent often to plan for next steps. "/>
    <m/>
    <s v="No"/>
    <s v="Nicole Johnson"/>
    <s v="Laura Williams Argilla"/>
    <s v="Nicole Johnson"/>
    <m/>
  </r>
  <r>
    <n v="103391"/>
    <x v="63"/>
    <s v="Principal, Technical Product Management - AI &amp; Data"/>
    <s v="Principal, Technical Product Management-USA"/>
    <s v="Principal, Technical Product Management-USA"/>
    <s v="PT5 - Principal"/>
    <d v="2025-10-06T00:00:00"/>
    <s v="0 - 3 Months"/>
    <s v="0 year(s), 1 month(s), 13 day(s)"/>
    <m/>
    <m/>
    <m/>
    <m/>
    <m/>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s v="No"/>
    <s v="Kate Butcher"/>
    <s v="Chad Thompson"/>
    <s v="Kate Butcher"/>
    <m/>
  </r>
  <r>
    <n v="103463"/>
    <x v="64"/>
    <s v="Sr. Principal, Product Management-DEU"/>
    <s v="Sr. Principal, Product Management-DEU"/>
    <s v="Sr. Principal, Product Management-DEU"/>
    <s v="PT6 - Sr. Principal"/>
    <d v="2022-02-15T00:00:00"/>
    <s v="3 - 5 Years"/>
    <s v="1 year(s), 8 month(s), 18 day(s)"/>
    <s v="Leading"/>
    <s v="Strong"/>
    <s v="Medium"/>
    <s v="Low"/>
    <n v="2"/>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s v="Francois is currently the manager but Nicole will complete talent mapping/performance reviews for 2026"/>
    <s v="No"/>
    <s v="Nicole Johnson (Francois Planet)"/>
    <s v="Laura Williams Argilla"/>
    <s v="Nicole Johnson"/>
    <m/>
  </r>
  <r>
    <n v="105665"/>
    <x v="65"/>
    <s v="Senior Program Manager"/>
    <s v="Sr. Professional, Technical Program Management-IND"/>
    <s v="Sr. Professional, Technical Program Management-IND"/>
    <s v="PT3 - Sr. Professional"/>
    <d v="2024-10-14T00:00:00"/>
    <s v="13 - 18 Months"/>
    <s v="1 year(s), 1 month(s), 5 day(s)"/>
    <m/>
    <m/>
    <s v="Medium"/>
    <s v="Medium"/>
    <n v="5"/>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s v="Has steadily improved with increased automony in assignments."/>
    <s v="No"/>
    <s v="Carolyn Blanco Losada"/>
    <s v="Elizabeth Benker"/>
    <s v="Erin Howard"/>
    <s v="Carolyn Blanco Losada"/>
  </r>
  <r>
    <n v="101555"/>
    <x v="66"/>
    <s v="Lead Product Manager"/>
    <s v="Advanced Professional, Product Management-CZE"/>
    <s v="Advanced Professional, Product Management-CZE"/>
    <s v="PT4 - Advanced Professional"/>
    <d v="2022-05-02T00:00:00"/>
    <s v="3 - 5 Years"/>
    <s v="0 year(s), 2 month(s), 18 day(s)"/>
    <s v="Solid"/>
    <s v="Strong"/>
    <s v="High"/>
    <s v="Medium"/>
    <n v="6"/>
    <s v="6.High Impact Talent"/>
    <x v="3"/>
    <s v="expand responsibilities in current role, identify key experiences and increase executive exposure"/>
    <s v="Differentially Invest - Ensure career discussions are happening regualrly? Do they have an individual development plan? What opportunities exist to accelerate development and growth? Revisit talent often to plan for next steps. "/>
    <m/>
    <m/>
    <s v="Tomáš Mitana"/>
    <s v="Chad Thompson"/>
    <s v="Tomáš Mitana"/>
    <m/>
  </r>
  <r>
    <n v="101721"/>
    <x v="67"/>
    <s v="Lead Product Manager"/>
    <s v="Lead Product Manager"/>
    <s v="Advanced Professional, Product Management-USA"/>
    <s v="PT4 - Advanced Professional"/>
    <d v="2021-03-22T00:00:00"/>
    <s v="3 - 5 Years"/>
    <s v="0 year(s), 5 month(s), 11 day(s)"/>
    <s v="Strong"/>
    <s v="Leading"/>
    <s v="Medium"/>
    <s v="High"/>
    <n v="8"/>
    <s v="8. Growth Talent "/>
    <x v="2"/>
    <s v="identify performance barriers, explore portential to expand responsibilties in current role "/>
    <s v="Differentially Invest - Ensure career discussions are happening regualrly? Do they have an individual development plan? What opportunities exist to accelerate development and growth? Revisit talent often to plan for next steps. "/>
    <s v="Discussed at July onsite, known flight risk, has gotten the sponsorship of Laura; had an interpersonal conflict that was fully resolved as per follow up by multiple people; expecting to submit for promotion this cycle"/>
    <s v="Yes"/>
    <s v="Lindsey Zibell"/>
    <s v="Laura Williams Argilla"/>
    <s v="Lindsey Zibell"/>
    <m/>
  </r>
  <r>
    <n v="105334"/>
    <x v="68"/>
    <s v="UX Designer"/>
    <s v="Professional, UI/UX Designer-IND"/>
    <s v="Professional, UI/UX Designer-IND"/>
    <s v="PT2 - Professional"/>
    <d v="2024-06-03T00:00:00"/>
    <s v="13 - 18 Months"/>
    <s v="1 year(s), 5 month(s), 16 day(s)"/>
    <m/>
    <s v="Solid"/>
    <s v="Medium"/>
    <s v="High"/>
    <n v="8"/>
    <s v="8. Growth Talent "/>
    <x v="2"/>
    <s v="identify performance barriers, explore portential to expand responsibilties in current role "/>
    <s v="Differentially Invest - Ensure career discussions are happening regualrly? Do they have an individual development plan? What opportunities exist to accelerate development and growth? Revisit talent often to plan for next steps. "/>
    <s v="Pranjal was very senior mid designer from the time he was hired. Since then he only strengthen his impact and expertise. I can rely on him with complex projects and I think he is ready for Sr."/>
    <s v="Yes"/>
    <s v="Patrik Volek"/>
    <s v="Elizabeth Benker"/>
    <s v="Patrik Volek"/>
    <m/>
  </r>
  <r>
    <n v="103289"/>
    <x v="69"/>
    <s v="Lead Product Analyst"/>
    <s v="Advanced Professional, Technical Product Management-IND"/>
    <s v="Advanced Professional, Technical Product Management-IND"/>
    <s v="PT4 - Advanced Professional"/>
    <d v="2022-02-07T00:00:00"/>
    <s v="3 - 5 Years"/>
    <s v="0 year(s), 8 month(s), 18 day(s)"/>
    <s v="Strong"/>
    <s v="Leading"/>
    <s v="Medium"/>
    <s v="Medium"/>
    <n v="5"/>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Hitesh Bakutra"/>
    <s v="Elizabeth Benker"/>
    <s v="Erin Howard"/>
    <s v="Hitesh Bakutra"/>
  </r>
  <r>
    <n v="106360"/>
    <x v="70"/>
    <s v="Sr. Principal Product Manager"/>
    <s v="Sr. Principal, Product Management-USA"/>
    <s v="Sr. Principal, Product Management-USA"/>
    <s v="PT6 - Sr. Principal"/>
    <d v="2025-10-13T00:00:00"/>
    <s v="0 - 3 Months"/>
    <s v="0 year(s), 1 month(s), 6 day(s)"/>
    <m/>
    <m/>
    <m/>
    <m/>
    <m/>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Chad Thompson"/>
    <s v="Chad Thompson"/>
    <m/>
    <m/>
  </r>
  <r>
    <n v="102873"/>
    <x v="71"/>
    <s v="Sr. Product Designer"/>
    <s v="Sr. Professional, UI/UX Designer-USA"/>
    <s v="Sr. Professional, UI/UX Designer-USA"/>
    <s v="PT3 - Sr. Professional"/>
    <d v="2021-11-29T00:00:00"/>
    <s v="3 - 5 Years"/>
    <s v="1 year(s), 8 month(s), 16 day(s)"/>
    <s v="Leading"/>
    <s v="Strong"/>
    <s v="High"/>
    <s v="Medium"/>
    <n v="6"/>
    <s v="6.High Impact Talent"/>
    <x v="3"/>
    <s v="expand responsibilities in current role, identify key experiences and increase executive exposure"/>
    <s v="Differentially Invest - Ensure career discussions are happening regualrly? Do they have an individual development plan? What opportunities exist to accelerate development and growth? Revisit talent often to plan for next steps. "/>
    <m/>
    <s v="No"/>
    <s v="Yujia Zhao"/>
    <s v="Elizabeth Benker"/>
    <s v="Yujia Zhao"/>
    <m/>
  </r>
  <r>
    <n v="102695"/>
    <x v="72"/>
    <s v="Lead Product Manager"/>
    <s v="Advanced Professional, Product Management-AUS"/>
    <s v="Advanced Professional, Product Management-AUS"/>
    <s v="PT4 - Advanced Professional"/>
    <d v="2021-10-07T00:00:00"/>
    <s v="5 - 10 Years"/>
    <s v="2 year(s), 1 month(s), 18 day(s)"/>
    <s v="Strong"/>
    <s v="Strong"/>
    <s v="Medium"/>
    <s v="High"/>
    <n v="8"/>
    <s v="8. Growth Talent "/>
    <x v="2"/>
    <s v="identify performance barriers, explore portential to expand responsibilties in current role "/>
    <s v="Differentially Invest - Ensure career discussions are happening regualrly? Do they have an individual development plan? What opportunities exist to accelerate development and growth? Revisit talent often to plan for next steps. "/>
    <m/>
    <m/>
    <s v="Robert D'Arrigo"/>
    <s v="Chad Thompson"/>
    <s v="Robert D'Arrigo"/>
    <m/>
  </r>
  <r>
    <n v="105983"/>
    <x v="73"/>
    <s v="Product Analyst"/>
    <s v="Professional, Technical Product Management-IND"/>
    <s v="Professional, Technical Product Management-IND"/>
    <s v="PT2 - Professional"/>
    <d v="2025-02-10T00:00:00"/>
    <s v="7 - 9 Months"/>
    <s v="0 year(s), 9 month(s), 9 day(s)"/>
    <m/>
    <m/>
    <s v="Medium"/>
    <s v="Medium"/>
    <n v="5"/>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Hitesh Bakutra"/>
    <s v="Elizabeth Benker"/>
    <s v="Erin Howard"/>
    <s v="Hitesh Bakutra"/>
  </r>
  <r>
    <n v="106119"/>
    <x v="74"/>
    <s v="Product Manager"/>
    <s v="Professional, Product Management-CZE"/>
    <s v="Professional, Product Management-CZE"/>
    <s v="PT2 - Professional"/>
    <d v="2025-04-14T00:00:00"/>
    <s v="7 - 9 Months"/>
    <s v="0 year(s), 7 month(s), 5 day(s)"/>
    <m/>
    <m/>
    <s v="Medium"/>
    <s v="High"/>
    <n v="8"/>
    <s v="9.Top Talent "/>
    <x v="0"/>
    <s v="identify stretch experiences or temporary assignments, increase executive exposure "/>
    <s v="Differentially Invest - Ensure career discussions are happening regualrly? Do they have an individual development plan? What opportunities exist to accelerate development and growth? Revisit talent often to plan for next steps. "/>
    <m/>
    <s v="Yes"/>
    <s v="Tomáš Mitana"/>
    <s v="Chad Thompson"/>
    <s v="Tomáš Mitana"/>
    <m/>
  </r>
  <r>
    <n v="1580"/>
    <x v="75"/>
    <s v="Sr. Professional, Product Management"/>
    <s v="Sr. Professional, Product Management"/>
    <s v="Sr. Professional, Product Management-USA"/>
    <s v="PT3 - Sr. Professional"/>
    <d v="2016-03-14T00:00:00"/>
    <s v="5 - 10 Years"/>
    <s v="0 year(s), 4 month(s), 3 day(s)"/>
    <s v="Strong"/>
    <s v="Strong"/>
    <s v="Medium"/>
    <s v="Medium"/>
    <n v="5"/>
    <s v="8. Growth Talent "/>
    <x v="2"/>
    <s v="identify performance barriers, explore portential to expand responsibilties in current role "/>
    <s v="Differentially Invest - Ensure career discussions are happening regualrly? Do they have an individual development plan? What opportunities exist to accelerate development and growth? Revisit talent often to plan for next steps. "/>
    <s v="Time in Job Profile reflects title change from TPM to PM in July, and is not indicative of an actual recent job change. Has been in current role for almost 2 years. "/>
    <s v="No"/>
    <s v="Nicole Johnson"/>
    <s v="Laura Williams Argilla"/>
    <s v="Nicole Johnson"/>
    <m/>
  </r>
  <r>
    <n v="106106"/>
    <x v="76"/>
    <s v="Senior Technical Writer"/>
    <s v="Sr. Professional, Technical Writer-IND"/>
    <s v="Sr. Professional, Technical Writer-IND"/>
    <s v="PT3 - Sr. Professional"/>
    <d v="2025-04-07T00:00:00"/>
    <s v="7 - 9 Months"/>
    <s v="0 year(s), 7 month(s), 12 day(s)"/>
    <m/>
    <m/>
    <s v="Medium"/>
    <s v="Medium"/>
    <n v="5"/>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Marcela Abrach"/>
    <s v="Elizabeth Benker"/>
    <s v="Marcela Abrach"/>
    <m/>
  </r>
  <r>
    <n v="100722"/>
    <x v="77"/>
    <s v="Sr. Professional, Product Management-UKR"/>
    <s v="Sr. Professional, Product Management-UKR"/>
    <s v="Sr. Professional, Product Management-UKR"/>
    <s v="PT3 - Sr. Professional"/>
    <d v="2019-07-15T00:00:00"/>
    <s v="5 - 10 Years"/>
    <s v="0 year(s), 0 month(s), 18 day(s)"/>
    <s v="Strong"/>
    <s v="Solid"/>
    <s v="Medium"/>
    <s v="Medium"/>
    <n v="5"/>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s v="Time in Job Profile reflects title change from TPM to PM in November, and is not indicative of an actual recent job change. Has been in current role for almost 5 years. _x000a__x000a_Francois is currently the manager but Nicole will complete talent mapping/performance reviews for 2026"/>
    <s v="No"/>
    <s v="Nicole Johnson (Francois Planet)"/>
    <s v="Laura Williams Argilla"/>
    <s v="Nicole Johnson"/>
    <m/>
  </r>
  <r>
    <n v="103293"/>
    <x v="78"/>
    <s v="Lead Product Insight Analyst"/>
    <s v="Advanced Professional, Technical Product Management-IND"/>
    <s v="Advanced Professional, Technical Product Management-IND"/>
    <s v="PT4 - Advanced Professional"/>
    <d v="2022-02-07T00:00:00"/>
    <s v="3 - 5 Years"/>
    <s v="1 year(s), 2 month(s), 18 day(s)"/>
    <s v="Leading"/>
    <s v="Strong"/>
    <s v="High"/>
    <s v="High"/>
    <n v="9"/>
    <s v="9.Top Talent "/>
    <x v="0"/>
    <s v="identify stretch experiences or temporary assignments, increase executive exposure "/>
    <s v="Differentially Invest - Ensure career discussions are happening regualrly? Do they have an individual development plan? What opportunities exist to accelerate development and growth? Revisit talent often to plan for next steps. "/>
    <m/>
    <m/>
    <s v="Hitesh Bakutra"/>
    <s v="Elizabeth Benker"/>
    <s v="Erin Howard"/>
    <s v="Hitesh Bakutra"/>
  </r>
  <r>
    <n v="105980"/>
    <x v="79"/>
    <s v="Principal, Product Management-IND"/>
    <s v="Principal, Product Management-IND"/>
    <s v="Principal, Product Management-IND"/>
    <s v="PT5 - Principal"/>
    <d v="2025-02-05T00:00:00"/>
    <s v="7 - 9 Months"/>
    <s v="0 year(s), 3 month(s), 15 day(s)"/>
    <m/>
    <m/>
    <s v="Medium"/>
    <s v="Medium"/>
    <n v="5"/>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Tomáš Mitana"/>
    <s v="Chad Thompson"/>
    <s v="Tomáš Mitana"/>
    <m/>
  </r>
  <r>
    <n v="106110"/>
    <x v="80"/>
    <s v="Senior Product Manager"/>
    <s v="Sr. Professional, Product Management-IND"/>
    <s v="Sr. Professional, Product Management-IND"/>
    <s v="PT3 - Sr. Professional"/>
    <d v="2025-04-07T00:00:00"/>
    <s v="7 - 9 Months"/>
    <s v="0 year(s), 7 month(s), 12 day(s)"/>
    <m/>
    <m/>
    <s v="Medium"/>
    <s v="Medium"/>
    <n v="5"/>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Robert D'Arrigo"/>
    <s v="Chad Thompson"/>
    <s v="Robert D'Arrigo"/>
    <m/>
  </r>
  <r>
    <n v="103904"/>
    <x v="81"/>
    <s v="Sr. UX Designer"/>
    <s v="Sr. Professional, UI/UX Designer-CZE"/>
    <s v="Sr. Professional, UI/UX Designer-CZE"/>
    <s v="PT3 - Sr. Professional"/>
    <d v="2022-07-01T00:00:00"/>
    <s v="3 - 5 Years"/>
    <s v="0 year(s), 2 month(s), 18 day(s)"/>
    <s v="Strong"/>
    <s v="Strong"/>
    <s v="High"/>
    <s v="High"/>
    <n v="9"/>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s v="Promoted recently."/>
    <s v="No"/>
    <s v="Patrik Volek"/>
    <s v="Elizabeth Benker"/>
    <s v="Patrik Volek"/>
    <m/>
  </r>
  <r>
    <n v="105866"/>
    <x v="82"/>
    <s v="Senior Product Designer"/>
    <s v="Sr. Professional, UI/UX Designer-IND"/>
    <s v="Sr. Professional, UI/UX Designer-IND"/>
    <s v="PT3 - Sr. Professional"/>
    <d v="2025-01-06T00:00:00"/>
    <s v="10 - 12 Months"/>
    <s v="0 year(s), 10 month(s), 13 day(s)"/>
    <m/>
    <m/>
    <s v="Medium"/>
    <s v="Low"/>
    <n v="2"/>
    <s v="2. Solid Talent "/>
    <x v="6"/>
    <s v="consider expanding current role, explore lateral/development opportunities "/>
    <s v="Develop in Role - Identify developmental activities to continue to grow their skill and set them up for success for anticiapted progression "/>
    <m/>
    <m/>
    <s v="Will Hurley"/>
    <s v="Elizabeth Benker"/>
    <s v="Will Hurley"/>
    <m/>
  </r>
  <r>
    <n v="105931"/>
    <x v="83"/>
    <s v="Design System Designer"/>
    <s v="Professional, UI/UX Designer-IND"/>
    <s v="Professional, UI/UX Designer-IND"/>
    <s v="PT2 - Professional"/>
    <d v="2025-02-10T00:00:00"/>
    <s v="7 - 9 Months"/>
    <s v="0 year(s), 9 month(s), 9 day(s)"/>
    <m/>
    <m/>
    <s v="Medium"/>
    <s v="Medium"/>
    <n v="5"/>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Elizabeth Cardinal"/>
    <s v="Elizabeth Benker"/>
    <s v="Elizabeth Cardinal"/>
    <m/>
  </r>
  <r>
    <n v="101900"/>
    <x v="84"/>
    <s v="Product Designer"/>
    <s v="Professional, UI/UX Designer-USA"/>
    <s v="Professional, UI/UX Designer-USA"/>
    <s v="PT2 - Professional"/>
    <d v="2025-08-18T00:00:00"/>
    <s v="0 - 3 Months"/>
    <s v="0 year(s), 3 month(s), 1 day(s)"/>
    <s v="Solid"/>
    <s v="Solid"/>
    <m/>
    <m/>
    <s v=""/>
    <m/>
    <x v="8"/>
    <s v=""/>
    <s v=""/>
    <s v="Just hired in August, not eligible (high performer for a P2)"/>
    <s v="No"/>
    <s v="Katie Fiscus"/>
    <s v="Elizabeth Benker"/>
    <s v="Katie Fiscus"/>
    <m/>
  </r>
  <r>
    <n v="104147"/>
    <x v="85"/>
    <s v="Sr. Principal Product Manager"/>
    <s v="Sr. Principal Product Manager"/>
    <s v="Sr. Principal, Product Management-USA"/>
    <s v="PT6 - Sr. Principal"/>
    <d v="2022-07-11T00:00:00"/>
    <s v="3 - 5 Years"/>
    <s v="0 year(s), 5 month(s), 11 day(s)"/>
    <s v="Strong"/>
    <s v="Strong"/>
    <s v="Medium"/>
    <s v="Medium"/>
    <n v="5"/>
    <s v="6.High Impact Talent"/>
    <x v="3"/>
    <s v="expand responsibilities in current role, identify key experiences and increase executive exposure"/>
    <s v="Differentially Invest - Ensure career discussions are happening regualrly? Do they have an individual development plan? What opportunities exist to accelerate development and growth? Revisit talent often to plan for next steps. "/>
    <m/>
    <m/>
    <s v="Chad Thompson"/>
    <s v="Chad Thompson"/>
    <s v="Chad Thompson"/>
    <m/>
  </r>
  <r>
    <n v="106308"/>
    <x v="86"/>
    <s v="Senior Product Designer"/>
    <s v="Sr. Professional, UI/UX Designer-CZE"/>
    <s v="Sr. Professional, UI/UX Designer-CZE"/>
    <s v="PT3 - Sr. Professional"/>
    <d v="2025-09-15T00:00:00"/>
    <s v="0 - 3 Months"/>
    <s v="0 year(s), 2 month(s), 4 day(s)"/>
    <m/>
    <s v="Strong"/>
    <m/>
    <m/>
    <s v=""/>
    <m/>
    <x v="8"/>
    <s v=""/>
    <s v=""/>
    <s v="Just hired in September, not eligible (performing as expected for P3)"/>
    <s v="No"/>
    <s v="Katie Fiscus"/>
    <s v="Elizabeth Benker"/>
    <s v="Katie Fiscus"/>
    <m/>
  </r>
  <r>
    <n v="102284"/>
    <x v="87"/>
    <s v="Technical Writer"/>
    <s v="Professional, Technical Writer-CZE"/>
    <s v="Professional, Technical Writer-CZE"/>
    <s v="PT2 - Professional"/>
    <d v="2021-08-02T00:00:00"/>
    <s v="3 - 5 Years"/>
    <s v="4 year(s), 3 month(s), 17 day(s)"/>
    <s v="Strong"/>
    <s v="Strong"/>
    <s v="Medium"/>
    <s v="Medium"/>
    <n v="5"/>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Marcela Abrach"/>
    <s v="Elizabeth Benker"/>
    <s v="Marcela Abrach"/>
    <m/>
  </r>
  <r>
    <n v="100564"/>
    <x v="88"/>
    <s v="Sr. Professional, Product Management"/>
    <s v="Sr. Professional, Product Management-USA"/>
    <s v="Sr. Professional, Product Management-USA"/>
    <s v="PT3 - Sr. Professional"/>
    <d v="2019-04-29T00:00:00"/>
    <s v="5 - 10 Years"/>
    <s v="0 year(s), 3 month(s), 26 day(s)"/>
    <s v="Strong"/>
    <s v="Strong"/>
    <s v="Low"/>
    <s v="Medium"/>
    <n v="4"/>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s v="No"/>
    <s v="Rachel Howard"/>
    <s v="Laura Williams Argilla"/>
    <s v="Rachel Howard"/>
    <m/>
  </r>
  <r>
    <n v="101274"/>
    <x v="89"/>
    <s v="Principal, Product Management-USA"/>
    <s v="Principal, Product Management-USA"/>
    <s v="Principal, Product Management-USA"/>
    <s v="PT5 - Principal"/>
    <d v="2020-03-16T00:00:00"/>
    <s v="5 - 10 Years"/>
    <s v="0 year(s), 8 month(s), 17 day(s)"/>
    <s v="Strong"/>
    <s v="Leading"/>
    <s v="High"/>
    <s v="Medium"/>
    <n v="6"/>
    <s v="3. Expert Talent "/>
    <x v="7"/>
    <s v="leverage experience to mentor and growth others "/>
    <s v="Develop in Role - Identify developmental activities to continue to grow their skill and set them up for success for anticiapted progression "/>
    <m/>
    <m/>
    <s v="Chad Thompson"/>
    <s v="Chad Thompson"/>
    <s v="Chad Thompson"/>
    <m/>
  </r>
  <r>
    <n v="103656"/>
    <x v="90"/>
    <s v="Product Manager"/>
    <s v="Professional, Product Management-CZE"/>
    <s v="Professional, Product Management-CZE"/>
    <s v="PT2 - Professional"/>
    <d v="2022-05-02T00:00:00"/>
    <s v="3 - 5 Years"/>
    <s v="3 year(s), 6 month(s), 17 day(s)"/>
    <s v="Solid"/>
    <s v="Solid"/>
    <m/>
    <m/>
    <s v=""/>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m/>
    <m/>
    <s v="Rachel Howard"/>
    <s v="Laura Williams Argilla"/>
    <s v="Rachel Howard"/>
    <m/>
  </r>
  <r>
    <n v="104315"/>
    <x v="91"/>
    <s v="Sr. Product Designer"/>
    <s v="Sr. Professional, UI/UX Designer-USA"/>
    <s v="Sr. Professional, UI/UX Designer-USA"/>
    <s v="PT3 - Sr. Professional"/>
    <d v="2022-08-15T00:00:00"/>
    <s v="3 - 5 Years"/>
    <s v="0 year(s), 2 month(s), 19 day(s)"/>
    <s v="Strong"/>
    <s v="Strong"/>
    <s v="High"/>
    <s v="Medium"/>
    <n v="6"/>
    <s v="5. Core Talent "/>
    <x v="1"/>
    <s v="identify performance barriers, explore portential to expand responsibilties in current role and discuss career aspirations (ideally for talent new in role)"/>
    <s v="Develop in Role - Identify developmental activities to continue to grow their skill and set them up for success for anticiapted progression "/>
    <s v="Just got promotion"/>
    <s v="No"/>
    <s v="Yujia Zhao"/>
    <s v="Elizabeth Benker"/>
    <s v="Yujia Zhao"/>
    <m/>
  </r>
  <r>
    <m/>
    <x v="92"/>
    <m/>
    <m/>
    <m/>
    <m/>
    <m/>
    <m/>
    <m/>
    <m/>
    <m/>
    <m/>
    <m/>
    <m/>
    <m/>
    <x v="9"/>
    <m/>
    <m/>
    <m/>
    <m/>
    <m/>
    <m/>
    <m/>
    <m/>
  </r>
  <r>
    <m/>
    <x v="92"/>
    <m/>
    <m/>
    <m/>
    <m/>
    <m/>
    <m/>
    <m/>
    <m/>
    <m/>
    <m/>
    <m/>
    <m/>
    <m/>
    <x v="9"/>
    <m/>
    <m/>
    <m/>
    <m/>
    <m/>
    <m/>
    <m/>
    <m/>
  </r>
  <r>
    <m/>
    <x v="92"/>
    <m/>
    <m/>
    <m/>
    <m/>
    <m/>
    <m/>
    <m/>
    <m/>
    <m/>
    <m/>
    <m/>
    <m/>
    <m/>
    <x v="9"/>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D197EB-3B69-403C-9B5A-17D5C50C679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9- Box Calibration ">
  <location ref="A3:B14" firstHeaderRow="1" firstDataRow="1" firstDataCol="1"/>
  <pivotFields count="24">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2">
        <item x="1"/>
        <item x="7"/>
        <item x="2"/>
        <item x="3"/>
        <item m="1" x="10"/>
        <item x="6"/>
        <item x="0"/>
        <item x="5"/>
        <item x="9"/>
        <item x="4"/>
        <item x="8"/>
        <item t="default"/>
      </items>
    </pivotField>
    <pivotField showAll="0"/>
    <pivotField showAll="0"/>
    <pivotField showAll="0"/>
    <pivotField showAll="0"/>
    <pivotField showAll="0"/>
    <pivotField showAll="0"/>
    <pivotField showAll="0"/>
    <pivotField showAll="0"/>
  </pivotFields>
  <rowFields count="1">
    <field x="15"/>
  </rowFields>
  <rowItems count="11">
    <i>
      <x/>
    </i>
    <i>
      <x v="1"/>
    </i>
    <i>
      <x v="2"/>
    </i>
    <i>
      <x v="3"/>
    </i>
    <i>
      <x v="5"/>
    </i>
    <i>
      <x v="6"/>
    </i>
    <i>
      <x v="7"/>
    </i>
    <i>
      <x v="8"/>
    </i>
    <i>
      <x v="9"/>
    </i>
    <i>
      <x v="10"/>
    </i>
    <i t="grand">
      <x/>
    </i>
  </rowItems>
  <colItems count="1">
    <i/>
  </colItems>
  <dataFields count="1">
    <dataField name="Count of Work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8F79E6-8F0A-419E-94A0-E8A21AFCDB72}" name="PivotTable6"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D3:F108" firstHeaderRow="2" firstDataRow="2" firstDataCol="2"/>
  <pivotFields count="24">
    <pivotField compact="0" outline="0" showAll="0"/>
    <pivotField axis="axisRow" dataField="1" compact="0" outline="0" showAll="0">
      <items count="117">
        <item x="0"/>
        <item x="1"/>
        <item x="2"/>
        <item x="3"/>
        <item x="4"/>
        <item x="5"/>
        <item x="6"/>
        <item x="7"/>
        <item m="1" x="95"/>
        <item x="8"/>
        <item x="9"/>
        <item x="10"/>
        <item x="11"/>
        <item x="12"/>
        <item x="13"/>
        <item x="14"/>
        <item x="15"/>
        <item x="16"/>
        <item x="17"/>
        <item m="1" x="96"/>
        <item m="1" x="97"/>
        <item x="18"/>
        <item x="19"/>
        <item x="20"/>
        <item x="21"/>
        <item x="22"/>
        <item x="23"/>
        <item x="24"/>
        <item m="1" x="98"/>
        <item m="1" x="99"/>
        <item x="25"/>
        <item x="26"/>
        <item m="1" x="100"/>
        <item m="1" x="101"/>
        <item x="27"/>
        <item x="28"/>
        <item x="29"/>
        <item x="30"/>
        <item x="31"/>
        <item x="32"/>
        <item x="33"/>
        <item m="1" x="102"/>
        <item x="34"/>
        <item x="35"/>
        <item x="36"/>
        <item x="37"/>
        <item x="38"/>
        <item x="39"/>
        <item x="40"/>
        <item x="41"/>
        <item x="42"/>
        <item m="1" x="103"/>
        <item x="43"/>
        <item m="1" x="104"/>
        <item x="44"/>
        <item x="45"/>
        <item x="46"/>
        <item x="47"/>
        <item x="48"/>
        <item m="1" x="105"/>
        <item x="49"/>
        <item m="1" x="106"/>
        <item x="50"/>
        <item x="51"/>
        <item x="52"/>
        <item x="53"/>
        <item x="54"/>
        <item m="1" x="107"/>
        <item x="55"/>
        <item x="56"/>
        <item x="57"/>
        <item x="58"/>
        <item x="59"/>
        <item x="60"/>
        <item x="61"/>
        <item x="62"/>
        <item x="63"/>
        <item m="1" x="108"/>
        <item x="64"/>
        <item m="1" x="109"/>
        <item x="65"/>
        <item m="1" x="93"/>
        <item x="66"/>
        <item m="1" x="110"/>
        <item x="67"/>
        <item x="68"/>
        <item x="69"/>
        <item x="70"/>
        <item m="1" x="111"/>
        <item x="71"/>
        <item x="72"/>
        <item x="73"/>
        <item x="74"/>
        <item x="75"/>
        <item m="1" x="112"/>
        <item x="76"/>
        <item x="77"/>
        <item m="1" x="94"/>
        <item x="78"/>
        <item x="79"/>
        <item x="80"/>
        <item x="81"/>
        <item x="82"/>
        <item x="83"/>
        <item x="84"/>
        <item x="85"/>
        <item x="86"/>
        <item x="87"/>
        <item m="1" x="113"/>
        <item x="88"/>
        <item x="89"/>
        <item m="1" x="114"/>
        <item x="90"/>
        <item x="91"/>
        <item m="1" x="115"/>
        <item x="9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2">
        <item x="1"/>
        <item x="7"/>
        <item x="2"/>
        <item x="3"/>
        <item m="1" x="10"/>
        <item x="6"/>
        <item x="0"/>
        <item x="5"/>
        <item x="9"/>
        <item x="4"/>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15"/>
    <field x="1"/>
  </rowFields>
  <rowItems count="104">
    <i>
      <x/>
      <x v="1"/>
    </i>
    <i r="1">
      <x v="5"/>
    </i>
    <i r="1">
      <x v="6"/>
    </i>
    <i r="1">
      <x v="9"/>
    </i>
    <i r="1">
      <x v="10"/>
    </i>
    <i r="1">
      <x v="12"/>
    </i>
    <i r="1">
      <x v="13"/>
    </i>
    <i r="1">
      <x v="15"/>
    </i>
    <i r="1">
      <x v="24"/>
    </i>
    <i r="1">
      <x v="34"/>
    </i>
    <i r="1">
      <x v="35"/>
    </i>
    <i r="1">
      <x v="36"/>
    </i>
    <i r="1">
      <x v="38"/>
    </i>
    <i r="1">
      <x v="40"/>
    </i>
    <i r="1">
      <x v="44"/>
    </i>
    <i r="1">
      <x v="46"/>
    </i>
    <i r="1">
      <x v="48"/>
    </i>
    <i r="1">
      <x v="49"/>
    </i>
    <i r="1">
      <x v="52"/>
    </i>
    <i r="1">
      <x v="54"/>
    </i>
    <i r="1">
      <x v="60"/>
    </i>
    <i r="1">
      <x v="62"/>
    </i>
    <i r="1">
      <x v="66"/>
    </i>
    <i r="1">
      <x v="68"/>
    </i>
    <i r="1">
      <x v="69"/>
    </i>
    <i r="1">
      <x v="71"/>
    </i>
    <i r="1">
      <x v="72"/>
    </i>
    <i r="1">
      <x v="73"/>
    </i>
    <i r="1">
      <x v="74"/>
    </i>
    <i r="1">
      <x v="76"/>
    </i>
    <i r="1">
      <x v="78"/>
    </i>
    <i r="1">
      <x v="80"/>
    </i>
    <i r="1">
      <x v="86"/>
    </i>
    <i r="1">
      <x v="87"/>
    </i>
    <i r="1">
      <x v="91"/>
    </i>
    <i r="1">
      <x v="95"/>
    </i>
    <i r="1">
      <x v="96"/>
    </i>
    <i r="1">
      <x v="99"/>
    </i>
    <i r="1">
      <x v="100"/>
    </i>
    <i r="1">
      <x v="101"/>
    </i>
    <i r="1">
      <x v="103"/>
    </i>
    <i r="1">
      <x v="107"/>
    </i>
    <i r="1">
      <x v="109"/>
    </i>
    <i r="1">
      <x v="112"/>
    </i>
    <i r="1">
      <x v="113"/>
    </i>
    <i t="default">
      <x/>
    </i>
    <i>
      <x v="1"/>
      <x v="27"/>
    </i>
    <i r="1">
      <x v="110"/>
    </i>
    <i t="default">
      <x v="1"/>
    </i>
    <i>
      <x v="2"/>
      <x v="2"/>
    </i>
    <i r="1">
      <x v="25"/>
    </i>
    <i r="1">
      <x v="26"/>
    </i>
    <i r="1">
      <x v="37"/>
    </i>
    <i r="1">
      <x v="47"/>
    </i>
    <i r="1">
      <x v="56"/>
    </i>
    <i r="1">
      <x v="84"/>
    </i>
    <i r="1">
      <x v="85"/>
    </i>
    <i r="1">
      <x v="90"/>
    </i>
    <i r="1">
      <x v="93"/>
    </i>
    <i t="default">
      <x v="2"/>
    </i>
    <i>
      <x v="3"/>
      <x v="3"/>
    </i>
    <i r="1">
      <x v="31"/>
    </i>
    <i r="1">
      <x v="43"/>
    </i>
    <i r="1">
      <x v="75"/>
    </i>
    <i r="1">
      <x v="82"/>
    </i>
    <i r="1">
      <x v="89"/>
    </i>
    <i r="1">
      <x v="105"/>
    </i>
    <i t="default">
      <x v="3"/>
    </i>
    <i>
      <x v="5"/>
      <x v="21"/>
    </i>
    <i r="1">
      <x v="63"/>
    </i>
    <i r="1">
      <x v="102"/>
    </i>
    <i t="default">
      <x v="5"/>
    </i>
    <i>
      <x v="6"/>
      <x/>
    </i>
    <i r="1">
      <x v="11"/>
    </i>
    <i r="1">
      <x v="16"/>
    </i>
    <i r="1">
      <x v="17"/>
    </i>
    <i r="1">
      <x v="18"/>
    </i>
    <i r="1">
      <x v="22"/>
    </i>
    <i r="1">
      <x v="23"/>
    </i>
    <i r="1">
      <x v="30"/>
    </i>
    <i r="1">
      <x v="39"/>
    </i>
    <i r="1">
      <x v="42"/>
    </i>
    <i r="1">
      <x v="45"/>
    </i>
    <i r="1">
      <x v="55"/>
    </i>
    <i r="1">
      <x v="58"/>
    </i>
    <i r="1">
      <x v="92"/>
    </i>
    <i r="1">
      <x v="98"/>
    </i>
    <i t="default">
      <x v="6"/>
    </i>
    <i>
      <x v="7"/>
      <x v="7"/>
    </i>
    <i r="1">
      <x v="14"/>
    </i>
    <i r="1">
      <x v="50"/>
    </i>
    <i t="default">
      <x v="7"/>
    </i>
    <i>
      <x v="8"/>
      <x v="115"/>
    </i>
    <i t="default">
      <x v="8"/>
    </i>
    <i>
      <x v="9"/>
      <x v="4"/>
    </i>
    <i r="1">
      <x v="57"/>
    </i>
    <i r="1">
      <x v="64"/>
    </i>
    <i r="1">
      <x v="65"/>
    </i>
    <i r="1">
      <x v="70"/>
    </i>
    <i t="default">
      <x v="9"/>
    </i>
    <i>
      <x v="10"/>
      <x v="104"/>
    </i>
    <i r="1">
      <x v="106"/>
    </i>
    <i t="default">
      <x v="10"/>
    </i>
    <i t="grand">
      <x/>
    </i>
  </rowItems>
  <colItems count="1">
    <i/>
  </colItems>
  <dataFields count="1">
    <dataField name="Count of Work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10D50-010C-7F4D-A09B-DAB58D81911C}">
  <dimension ref="A1:V20"/>
  <sheetViews>
    <sheetView showGridLines="0" topLeftCell="C16" zoomScale="55" zoomScaleNormal="55" workbookViewId="0">
      <selection activeCell="Q16" sqref="Q16"/>
    </sheetView>
  </sheetViews>
  <sheetFormatPr defaultColWidth="10.83203125" defaultRowHeight="16"/>
  <cols>
    <col min="1" max="1" width="27.33203125" style="9" customWidth="1"/>
    <col min="2" max="2" width="25.83203125" style="9" bestFit="1" customWidth="1"/>
    <col min="3" max="3" width="32" style="9" bestFit="1" customWidth="1"/>
    <col min="4" max="4" width="41.08203125" style="9" customWidth="1"/>
    <col min="5" max="16384" width="10.83203125" style="9"/>
  </cols>
  <sheetData>
    <row r="1" spans="1:22" ht="21">
      <c r="A1" s="12" t="s">
        <v>0</v>
      </c>
    </row>
    <row r="2" spans="1:22" s="13" customFormat="1" ht="18.5">
      <c r="A2" s="43" t="s">
        <v>1</v>
      </c>
      <c r="B2" s="29"/>
      <c r="C2" s="29"/>
      <c r="D2" s="29"/>
      <c r="E2" s="29"/>
      <c r="F2" s="29"/>
      <c r="G2" s="29"/>
      <c r="H2" s="29"/>
      <c r="I2" s="29"/>
      <c r="J2" s="29"/>
      <c r="K2" s="29"/>
      <c r="L2" s="29"/>
      <c r="M2" s="29"/>
      <c r="N2" s="29"/>
      <c r="O2" s="29"/>
      <c r="P2" s="29"/>
      <c r="Q2" s="29"/>
      <c r="R2" s="29"/>
      <c r="S2" s="29"/>
      <c r="T2" s="29"/>
      <c r="U2" s="29"/>
      <c r="V2" s="29"/>
    </row>
    <row r="3" spans="1:22" s="13" customFormat="1" ht="18.5">
      <c r="A3" s="28" t="s">
        <v>2</v>
      </c>
      <c r="B3" s="29"/>
      <c r="C3" s="29"/>
      <c r="D3" s="29"/>
      <c r="E3" s="29"/>
      <c r="F3" s="29"/>
      <c r="G3" s="29"/>
      <c r="H3" s="29"/>
      <c r="I3" s="29"/>
      <c r="J3" s="29"/>
      <c r="K3" s="29"/>
      <c r="L3" s="29"/>
      <c r="M3" s="29"/>
      <c r="N3" s="29"/>
      <c r="O3" s="29"/>
      <c r="P3" s="29"/>
      <c r="Q3" s="29"/>
      <c r="R3" s="29"/>
      <c r="S3" s="29"/>
      <c r="T3" s="29"/>
      <c r="U3" s="29"/>
      <c r="V3" s="29"/>
    </row>
    <row r="4" spans="1:22" s="13" customFormat="1" ht="18.5">
      <c r="A4" s="28" t="s">
        <v>3</v>
      </c>
      <c r="B4" s="29"/>
      <c r="C4" s="29"/>
      <c r="D4" s="29"/>
      <c r="E4" s="29"/>
      <c r="F4" s="29"/>
      <c r="G4" s="29"/>
      <c r="H4" s="29"/>
      <c r="I4" s="29"/>
      <c r="J4" s="29"/>
      <c r="K4" s="29"/>
      <c r="L4" s="29"/>
      <c r="M4" s="29"/>
      <c r="N4" s="29"/>
      <c r="O4" s="29"/>
      <c r="P4" s="29"/>
      <c r="Q4" s="29"/>
      <c r="R4" s="29"/>
      <c r="S4" s="29"/>
      <c r="T4" s="29"/>
      <c r="U4" s="29"/>
      <c r="V4" s="29"/>
    </row>
    <row r="7" spans="1:22" ht="20">
      <c r="A7" s="10" t="s">
        <v>4</v>
      </c>
    </row>
    <row r="8" spans="1:22" ht="20">
      <c r="A8" s="10" t="s">
        <v>5</v>
      </c>
    </row>
    <row r="9" spans="1:22">
      <c r="A9" s="10"/>
    </row>
    <row r="11" spans="1:22" ht="28">
      <c r="A11" s="14" t="s">
        <v>6</v>
      </c>
      <c r="B11" s="14" t="s">
        <v>7</v>
      </c>
      <c r="C11" s="14" t="s">
        <v>8</v>
      </c>
      <c r="D11" s="14" t="s">
        <v>9</v>
      </c>
    </row>
    <row r="12" spans="1:22" ht="53.15" customHeight="1">
      <c r="A12" s="15" t="s">
        <v>10</v>
      </c>
      <c r="B12" s="15" t="s">
        <v>11</v>
      </c>
      <c r="C12" s="15" t="s">
        <v>12</v>
      </c>
      <c r="D12" s="18" t="s">
        <v>13</v>
      </c>
    </row>
    <row r="13" spans="1:22" ht="48">
      <c r="A13" s="15" t="s">
        <v>14</v>
      </c>
      <c r="B13" s="15" t="s">
        <v>15</v>
      </c>
      <c r="C13" s="15" t="s">
        <v>16</v>
      </c>
      <c r="D13" s="20" t="s">
        <v>17</v>
      </c>
    </row>
    <row r="14" spans="1:22" ht="48">
      <c r="A14" s="15" t="s">
        <v>18</v>
      </c>
      <c r="B14" s="15" t="s">
        <v>19</v>
      </c>
      <c r="C14" s="15" t="s">
        <v>20</v>
      </c>
      <c r="D14" s="20" t="s">
        <v>17</v>
      </c>
    </row>
    <row r="15" spans="1:22" ht="48">
      <c r="A15" s="17" t="s">
        <v>21</v>
      </c>
      <c r="B15" s="15" t="s">
        <v>22</v>
      </c>
      <c r="C15" s="15" t="s">
        <v>23</v>
      </c>
      <c r="D15" s="16" t="s">
        <v>24</v>
      </c>
    </row>
    <row r="16" spans="1:22" ht="80">
      <c r="A16" s="15" t="s">
        <v>25</v>
      </c>
      <c r="B16" s="15" t="s">
        <v>26</v>
      </c>
      <c r="C16" s="15" t="s">
        <v>27</v>
      </c>
      <c r="D16" s="20" t="s">
        <v>17</v>
      </c>
    </row>
    <row r="17" spans="1:4" ht="80">
      <c r="A17" s="15" t="s">
        <v>28</v>
      </c>
      <c r="B17" s="15" t="s">
        <v>29</v>
      </c>
      <c r="C17" s="15" t="s">
        <v>30</v>
      </c>
      <c r="D17" s="21" t="s">
        <v>31</v>
      </c>
    </row>
    <row r="18" spans="1:4" ht="48">
      <c r="A18" s="15" t="s">
        <v>32</v>
      </c>
      <c r="B18" s="15" t="s">
        <v>33</v>
      </c>
      <c r="C18" s="15" t="s">
        <v>34</v>
      </c>
      <c r="D18" s="16" t="s">
        <v>35</v>
      </c>
    </row>
    <row r="19" spans="1:4" ht="80">
      <c r="A19" s="15" t="s">
        <v>36</v>
      </c>
      <c r="B19" s="15" t="s">
        <v>37</v>
      </c>
      <c r="C19" s="15" t="s">
        <v>38</v>
      </c>
      <c r="D19" s="19" t="s">
        <v>31</v>
      </c>
    </row>
    <row r="20" spans="1:4" ht="80">
      <c r="A20" s="15" t="s">
        <v>39</v>
      </c>
      <c r="B20" s="15" t="s">
        <v>40</v>
      </c>
      <c r="C20" s="15" t="s">
        <v>41</v>
      </c>
      <c r="D20" s="19" t="s">
        <v>31</v>
      </c>
    </row>
  </sheetData>
  <autoFilter ref="A11:D11" xr:uid="{B1D10D50-010C-7F4D-A09B-DAB58D81911C}">
    <sortState xmlns:xlrd2="http://schemas.microsoft.com/office/spreadsheetml/2017/richdata2" ref="A12:D20">
      <sortCondition ref="A11"/>
    </sortState>
  </autoFilter>
  <conditionalFormatting sqref="A11:D11">
    <cfRule type="containsText" dxfId="14" priority="2" operator="containsText" text="Develop in Role">
      <formula>NOT(ISERROR(SEARCH("Develop in Role",A11)))</formula>
    </cfRule>
    <cfRule type="containsText" dxfId="13" priority="3" stopIfTrue="1" operator="containsText" text="Make a Plan">
      <formula>NOT(ISERROR(SEARCH("Make a Plan",A11)))</formula>
    </cfRule>
    <cfRule type="containsText" dxfId="12" priority="4" operator="containsText" text="Evaluate Fit ">
      <formula>NOT(ISERROR(SEARCH("Evaluate Fit ",A11)))</formula>
    </cfRule>
    <cfRule type="containsText" dxfId="11" priority="5" operator="containsText" text="Differentially Invest">
      <formula>NOT(ISERROR(SEARCH("Differentially Invest",A11)))</formula>
    </cfRule>
  </conditionalFormatting>
  <conditionalFormatting sqref="B11">
    <cfRule type="containsText" dxfId="10" priority="1" operator="containsText" text="Evaluate Fit/Make a Plan ">
      <formula>NOT(ISERROR(SEARCH("Evaluate Fit/Make a Plan ",B11)))</formula>
    </cfRule>
  </conditionalFormatting>
  <dataValidations count="1">
    <dataValidation type="list" allowBlank="1" showInputMessage="1" showErrorMessage="1" sqref="A11" xr:uid="{E3EE9136-5054-784D-84D7-E6A512699BB3}">
      <formula1>#REF!</formula1>
    </dataValidation>
  </dataValidations>
  <pageMargins left="0.7" right="0.7" top="0.75" bottom="0.75" header="0.3" footer="0.3"/>
  <pageSetup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5"/>
  <sheetViews>
    <sheetView tabSelected="1" zoomScaleNormal="100" workbookViewId="0">
      <pane xSplit="2" topLeftCell="L1" activePane="topRight" state="frozen"/>
      <selection pane="topRight" activeCell="O18" sqref="O18"/>
    </sheetView>
  </sheetViews>
  <sheetFormatPr defaultColWidth="11" defaultRowHeight="15.75" customHeight="1"/>
  <cols>
    <col min="2" max="2" width="16.5" customWidth="1"/>
    <col min="3" max="3" width="13.83203125" customWidth="1"/>
    <col min="4" max="6" width="11" customWidth="1"/>
    <col min="7" max="7" width="10" customWidth="1"/>
    <col min="14" max="14" width="11.75" customWidth="1"/>
    <col min="15" max="15" width="16" bestFit="1" customWidth="1"/>
    <col min="16" max="16" width="25.08203125" customWidth="1"/>
    <col min="17" max="17" width="34.08203125" customWidth="1"/>
    <col min="18" max="18" width="50.33203125" style="8" customWidth="1"/>
    <col min="19" max="19" width="61.58203125" customWidth="1"/>
    <col min="20" max="20" width="34.58203125" customWidth="1"/>
    <col min="21" max="21" width="17.83203125" customWidth="1"/>
    <col min="22" max="24" width="16" bestFit="1" customWidth="1"/>
  </cols>
  <sheetData>
    <row r="1" spans="1:24" ht="66" customHeight="1">
      <c r="A1" s="1" t="s">
        <v>42</v>
      </c>
      <c r="B1" s="1" t="s">
        <v>43</v>
      </c>
      <c r="C1" s="1" t="s">
        <v>44</v>
      </c>
      <c r="D1" s="1" t="s">
        <v>45</v>
      </c>
      <c r="E1" s="1" t="s">
        <v>46</v>
      </c>
      <c r="F1" s="1" t="s">
        <v>47</v>
      </c>
      <c r="G1" s="1" t="s">
        <v>48</v>
      </c>
      <c r="H1" s="1" t="s">
        <v>49</v>
      </c>
      <c r="I1" s="1" t="s">
        <v>50</v>
      </c>
      <c r="J1" s="1" t="s">
        <v>51</v>
      </c>
      <c r="K1" s="1" t="s">
        <v>52</v>
      </c>
      <c r="L1" s="24" t="s">
        <v>53</v>
      </c>
      <c r="M1" s="25" t="s">
        <v>54</v>
      </c>
      <c r="N1" s="24" t="s">
        <v>55</v>
      </c>
      <c r="O1" s="36" t="s">
        <v>6</v>
      </c>
      <c r="P1" s="11" t="s">
        <v>7</v>
      </c>
      <c r="Q1" s="11" t="s">
        <v>8</v>
      </c>
      <c r="R1" s="11" t="s">
        <v>9</v>
      </c>
      <c r="S1" s="36" t="s">
        <v>56</v>
      </c>
      <c r="T1" s="36" t="s">
        <v>57</v>
      </c>
      <c r="U1" s="40" t="s">
        <v>58</v>
      </c>
      <c r="V1" s="40" t="s">
        <v>59</v>
      </c>
      <c r="W1" s="40" t="s">
        <v>60</v>
      </c>
      <c r="X1" s="40" t="s">
        <v>61</v>
      </c>
    </row>
    <row r="2" spans="1:24" ht="56.15" customHeight="1">
      <c r="A2" s="22">
        <v>103175</v>
      </c>
      <c r="B2" s="22" t="s">
        <v>62</v>
      </c>
      <c r="C2" s="22" t="s">
        <v>63</v>
      </c>
      <c r="D2" s="22" t="s">
        <v>63</v>
      </c>
      <c r="E2" s="22" t="s">
        <v>64</v>
      </c>
      <c r="F2" s="22" t="s">
        <v>65</v>
      </c>
      <c r="G2" s="23">
        <v>44634</v>
      </c>
      <c r="H2" s="22" t="s">
        <v>66</v>
      </c>
      <c r="I2" s="22" t="s">
        <v>67</v>
      </c>
      <c r="J2" s="22" t="s">
        <v>68</v>
      </c>
      <c r="K2" s="22" t="s">
        <v>68</v>
      </c>
      <c r="L2" s="22" t="s">
        <v>69</v>
      </c>
      <c r="M2" s="22" t="s">
        <v>69</v>
      </c>
      <c r="N2" s="30" cm="1">
        <f t="array" ref="N2">IF(OR(L2="",M2=""),"", IF(OR(ISNA(MATCH(L2,{"Low","Medium","High"},0)), ISNA(MATCH(M2,{"Low","Medium","High"},0))),"",_xlfn.SWITCH(L2,"Low",1,"Medium",2,"High",3) + 3 * _xlfn.SWITCH(M2,"Low",1,"Medium",2,"High",3) - 3))</f>
        <v>9</v>
      </c>
      <c r="O2" s="37" t="s">
        <v>39</v>
      </c>
      <c r="P2" s="22" t="str">
        <f>IFERROR(VLOOKUP(O2,'Excel Table (Do Not Format)'!A:D,2,FALSE),"")</f>
        <v>Top Talent [H,H]</v>
      </c>
      <c r="Q2" s="22" t="str">
        <f>IFERROR(VLOOKUP(O2,'Excel Table (Do Not Format)'!A:D,3,FALSE),"")</f>
        <v xml:space="preserve">identify stretch experiences or temporary assignments, increase executive exposure </v>
      </c>
      <c r="R2" s="22" t="str">
        <f>IFERROR(VLOOKUP(O2,'Excel Table (Do Not Format)'!A:D,4,FALSE),"")</f>
        <v xml:space="preserve">Differentially Invest - Ensure career discussions are happening regualrly? Do they have an individual development plan? What opportunities exist to accelerate development and growth? Revisit talent often to plan for next steps. </v>
      </c>
      <c r="S2" s="37" t="s">
        <v>70</v>
      </c>
      <c r="T2" s="38"/>
      <c r="U2" s="2" t="s">
        <v>71</v>
      </c>
      <c r="V2" s="2" t="s">
        <v>72</v>
      </c>
      <c r="W2" s="2" t="s">
        <v>71</v>
      </c>
      <c r="X2" s="2"/>
    </row>
    <row r="3" spans="1:24" ht="56.15" customHeight="1">
      <c r="A3" s="22">
        <v>106384</v>
      </c>
      <c r="B3" s="22" t="s">
        <v>73</v>
      </c>
      <c r="C3" s="22" t="s">
        <v>74</v>
      </c>
      <c r="D3" s="22" t="s">
        <v>75</v>
      </c>
      <c r="E3" s="22" t="s">
        <v>75</v>
      </c>
      <c r="F3" s="22" t="s">
        <v>76</v>
      </c>
      <c r="G3" s="23">
        <v>45966</v>
      </c>
      <c r="H3" s="22" t="s">
        <v>77</v>
      </c>
      <c r="I3" s="22" t="s">
        <v>78</v>
      </c>
      <c r="J3" s="22"/>
      <c r="K3" s="22"/>
      <c r="L3" s="22"/>
      <c r="M3" s="22"/>
      <c r="N3" s="22"/>
      <c r="O3" s="37" t="s">
        <v>25</v>
      </c>
      <c r="P3" s="22" t="str">
        <f>IFERROR(VLOOKUP(O3,'Excel Table (Do Not Format)'!A:D,2,FALSE),"")</f>
        <v>Core Talent [M,M]</v>
      </c>
      <c r="Q3" s="22" t="str">
        <f>IFERROR(VLOOKUP(O3,'Excel Table (Do Not Format)'!A:D,3,FALSE),"")</f>
        <v>identify performance barriers, explore portential to expand responsibilties in current role and discuss career aspirations (ideally for talent new in role)</v>
      </c>
      <c r="R3" s="22" t="str">
        <f>IFERROR(VLOOKUP(O3,'Excel Table (Do Not Format)'!A:D,4,FALSE),"")</f>
        <v xml:space="preserve">Develop in Role - Identify developmental activities to continue to grow their skill and set them up for success for anticiapted progression </v>
      </c>
      <c r="S3" s="37" t="s">
        <v>79</v>
      </c>
      <c r="T3" s="38" t="s">
        <v>80</v>
      </c>
      <c r="U3" s="2" t="s">
        <v>81</v>
      </c>
      <c r="V3" s="2" t="s">
        <v>82</v>
      </c>
      <c r="W3" s="2" t="s">
        <v>81</v>
      </c>
      <c r="X3" s="2"/>
    </row>
    <row r="4" spans="1:24" ht="56.15" customHeight="1">
      <c r="A4" s="22">
        <v>103290</v>
      </c>
      <c r="B4" s="22" t="s">
        <v>83</v>
      </c>
      <c r="C4" s="22" t="s">
        <v>84</v>
      </c>
      <c r="D4" s="22" t="s">
        <v>85</v>
      </c>
      <c r="E4" s="22" t="s">
        <v>85</v>
      </c>
      <c r="F4" s="22" t="s">
        <v>86</v>
      </c>
      <c r="G4" s="23">
        <v>44599</v>
      </c>
      <c r="H4" s="22" t="s">
        <v>66</v>
      </c>
      <c r="I4" s="22" t="s">
        <v>87</v>
      </c>
      <c r="J4" s="22" t="s">
        <v>88</v>
      </c>
      <c r="K4" s="22" t="s">
        <v>89</v>
      </c>
      <c r="L4" s="22" t="s">
        <v>90</v>
      </c>
      <c r="M4" s="22" t="s">
        <v>69</v>
      </c>
      <c r="N4" s="30" cm="1">
        <f t="array" ref="N4">IF(OR(L4="",M4=""),"", IF(OR(ISNA(MATCH(L4,{"Low","Medium","High"},0)), ISNA(MATCH(M4,{"Low","Medium","High"},0))),"",_xlfn.SWITCH(L4,"Low",1,"Medium",2,"High",3) + 3 * _xlfn.SWITCH(M4,"Low",1,"Medium",2,"High",3) - 3))</f>
        <v>8</v>
      </c>
      <c r="O4" s="37" t="s">
        <v>36</v>
      </c>
      <c r="P4" s="22" t="str">
        <f>IFERROR(VLOOKUP(O4,'Excel Table (Do Not Format)'!A:D,2,FALSE),"")</f>
        <v>Growth Talent [M,H]</v>
      </c>
      <c r="Q4" s="22" t="str">
        <f>IFERROR(VLOOKUP(O4,'Excel Table (Do Not Format)'!A:D,3,FALSE),"")</f>
        <v xml:space="preserve">identify performance barriers, explore portential to expand responsibilties in current role </v>
      </c>
      <c r="R4" s="22" t="str">
        <f>IFERROR(VLOOKUP(O4,'Excel Table (Do Not Format)'!A:D,4,FALSE),"")</f>
        <v xml:space="preserve">Differentially Invest - Ensure career discussions are happening regualrly? Do they have an individual development plan? What opportunities exist to accelerate development and growth? Revisit talent often to plan for next steps. </v>
      </c>
      <c r="S4" s="37" t="s">
        <v>91</v>
      </c>
      <c r="T4" s="38" t="s">
        <v>92</v>
      </c>
      <c r="U4" s="2" t="s">
        <v>81</v>
      </c>
      <c r="V4" s="2" t="s">
        <v>82</v>
      </c>
      <c r="W4" s="2" t="s">
        <v>81</v>
      </c>
      <c r="X4" s="2"/>
    </row>
    <row r="5" spans="1:24" ht="56.15" customHeight="1">
      <c r="A5" s="22">
        <v>104817</v>
      </c>
      <c r="B5" s="22" t="s">
        <v>93</v>
      </c>
      <c r="C5" s="22" t="s">
        <v>94</v>
      </c>
      <c r="D5" s="22" t="s">
        <v>95</v>
      </c>
      <c r="E5" s="22" t="s">
        <v>95</v>
      </c>
      <c r="F5" s="22" t="s">
        <v>86</v>
      </c>
      <c r="G5" s="23">
        <v>44942</v>
      </c>
      <c r="H5" s="22" t="s">
        <v>96</v>
      </c>
      <c r="I5" s="22" t="s">
        <v>97</v>
      </c>
      <c r="J5" s="22" t="s">
        <v>88</v>
      </c>
      <c r="K5" s="22" t="s">
        <v>89</v>
      </c>
      <c r="L5" s="22" t="s">
        <v>69</v>
      </c>
      <c r="M5" s="22" t="s">
        <v>90</v>
      </c>
      <c r="N5" s="30" cm="1">
        <f t="array" ref="N5">IF(OR(L5="",M5=""),"", IF(OR(ISNA(MATCH(L5,{"Low","Medium","High"},0)), ISNA(MATCH(M5,{"Low","Medium","High"},0))),"",_xlfn.SWITCH(L5,"Low",1,"Medium",2,"High",3) + 3 * _xlfn.SWITCH(M5,"Low",1,"Medium",2,"High",3) - 3))</f>
        <v>6</v>
      </c>
      <c r="O5" s="37" t="s">
        <v>28</v>
      </c>
      <c r="P5" s="22" t="str">
        <f>IFERROR(VLOOKUP(O5,'Excel Table (Do Not Format)'!A:D,2,FALSE),"")</f>
        <v>High Impact Talent [H,M]</v>
      </c>
      <c r="Q5" s="22" t="str">
        <f>IFERROR(VLOOKUP(O5,'Excel Table (Do Not Format)'!A:D,3,FALSE),"")</f>
        <v>expand responsibilities in current role, identify key experiences and increase executive exposure</v>
      </c>
      <c r="R5" s="22" t="str">
        <f>IFERROR(VLOOKUP(O5,'Excel Table (Do Not Format)'!A:D,4,FALSE),"")</f>
        <v xml:space="preserve">Differentially Invest - Ensure career discussions are happening regualrly? Do they have an individual development plan? What opportunities exist to accelerate development and growth? Revisit talent often to plan for next steps. </v>
      </c>
      <c r="S5" s="37"/>
      <c r="T5" s="38"/>
      <c r="U5" s="2" t="s">
        <v>98</v>
      </c>
      <c r="V5" s="2" t="s">
        <v>82</v>
      </c>
      <c r="W5" s="2" t="s">
        <v>98</v>
      </c>
      <c r="X5" s="2"/>
    </row>
    <row r="6" spans="1:24" ht="56.15" customHeight="1">
      <c r="A6" s="22">
        <v>105857</v>
      </c>
      <c r="B6" s="22" t="s">
        <v>99</v>
      </c>
      <c r="C6" s="22" t="s">
        <v>100</v>
      </c>
      <c r="D6" s="22" t="s">
        <v>100</v>
      </c>
      <c r="E6" s="22" t="s">
        <v>100</v>
      </c>
      <c r="F6" s="22" t="s">
        <v>76</v>
      </c>
      <c r="G6" s="23">
        <v>45656</v>
      </c>
      <c r="H6" s="22" t="s">
        <v>101</v>
      </c>
      <c r="I6" s="22" t="s">
        <v>102</v>
      </c>
      <c r="J6" s="22"/>
      <c r="K6" s="22"/>
      <c r="L6" s="22" t="s">
        <v>103</v>
      </c>
      <c r="M6" s="22" t="s">
        <v>90</v>
      </c>
      <c r="N6" s="30" cm="1">
        <f t="array" ref="N6">IF(OR(L6="",M6=""),"", IF(OR(ISNA(MATCH(L6,{"Low","Medium","High"},0)), ISNA(MATCH(M6,{"Low","Medium","High"},0))),"",_xlfn.SWITCH(L6,"Low",1,"Medium",2,"High",3) + 3 * _xlfn.SWITCH(M6,"Low",1,"Medium",2,"High",3) - 3))</f>
        <v>4</v>
      </c>
      <c r="O6" s="37" t="s">
        <v>21</v>
      </c>
      <c r="P6" s="22" t="str">
        <f>IFERROR(VLOOKUP(O6,'Excel Table (Do Not Format)'!A:D,2,FALSE),"")</f>
        <v>Inconsistent Talent [L,M]</v>
      </c>
      <c r="Q6" s="22" t="str">
        <f>IFERROR(VLOOKUP(O6,'Excel Table (Do Not Format)'!A:D,3,FALSE),"")</f>
        <v xml:space="preserve">re-establish performance expectations in current role, drive performance and re-evaluate in 6-12 months </v>
      </c>
      <c r="R6" s="22" t="str">
        <f>IFERROR(VLOOKUP(O6,'Excel Table (Do Not Format)'!A:D,4,FALSE),"")</f>
        <v>Evaluate Fit/Make A Plan - Identify a coaching plan to improve performance</v>
      </c>
      <c r="S6" s="37"/>
      <c r="T6" s="38"/>
      <c r="U6" s="2" t="s">
        <v>98</v>
      </c>
      <c r="V6" s="2" t="s">
        <v>82</v>
      </c>
      <c r="W6" s="2" t="s">
        <v>98</v>
      </c>
      <c r="X6" s="2"/>
    </row>
    <row r="7" spans="1:24" ht="56.15" customHeight="1">
      <c r="A7" s="22">
        <v>103874</v>
      </c>
      <c r="B7" s="22" t="s">
        <v>104</v>
      </c>
      <c r="C7" s="22" t="s">
        <v>105</v>
      </c>
      <c r="D7" s="22" t="s">
        <v>106</v>
      </c>
      <c r="E7" s="22" t="s">
        <v>106</v>
      </c>
      <c r="F7" s="22" t="s">
        <v>76</v>
      </c>
      <c r="G7" s="23">
        <v>44704</v>
      </c>
      <c r="H7" s="22" t="s">
        <v>66</v>
      </c>
      <c r="I7" s="22" t="s">
        <v>107</v>
      </c>
      <c r="J7" s="22" t="s">
        <v>89</v>
      </c>
      <c r="K7" s="22" t="s">
        <v>88</v>
      </c>
      <c r="L7" s="22" t="s">
        <v>90</v>
      </c>
      <c r="M7" s="22" t="s">
        <v>69</v>
      </c>
      <c r="N7" s="30" cm="1">
        <f t="array" ref="N7">IF(OR(L7="",M7=""),"", IF(OR(ISNA(MATCH(L7,{"Low","Medium","High"},0)), ISNA(MATCH(M7,{"Low","Medium","High"},0))),"",_xlfn.SWITCH(L7,"Low",1,"Medium",2,"High",3) + 3 * _xlfn.SWITCH(M7,"Low",1,"Medium",2,"High",3) - 3))</f>
        <v>8</v>
      </c>
      <c r="O7" s="37" t="s">
        <v>25</v>
      </c>
      <c r="P7" s="22" t="str">
        <f>IFERROR(VLOOKUP(O7,'Excel Table (Do Not Format)'!A:D,2,FALSE),"")</f>
        <v>Core Talent [M,M]</v>
      </c>
      <c r="Q7" s="22" t="str">
        <f>IFERROR(VLOOKUP(O7,'Excel Table (Do Not Format)'!A:D,3,FALSE),"")</f>
        <v>identify performance barriers, explore portential to expand responsibilties in current role and discuss career aspirations (ideally for talent new in role)</v>
      </c>
      <c r="R7" s="22" t="str">
        <f>IFERROR(VLOOKUP(O7,'Excel Table (Do Not Format)'!A:D,4,FALSE),"")</f>
        <v xml:space="preserve">Develop in Role - Identify developmental activities to continue to grow their skill and set them up for success for anticiapted progression </v>
      </c>
      <c r="S7" s="37"/>
      <c r="T7" s="38" t="s">
        <v>80</v>
      </c>
      <c r="U7" s="2" t="s">
        <v>108</v>
      </c>
      <c r="V7" s="2" t="s">
        <v>82</v>
      </c>
      <c r="W7" s="2" t="s">
        <v>109</v>
      </c>
      <c r="X7" s="2" t="s">
        <v>108</v>
      </c>
    </row>
    <row r="8" spans="1:24" ht="72.650000000000006" customHeight="1">
      <c r="A8" s="22">
        <v>106302</v>
      </c>
      <c r="B8" s="22" t="s">
        <v>110</v>
      </c>
      <c r="C8" s="22" t="s">
        <v>111</v>
      </c>
      <c r="D8" s="22" t="s">
        <v>106</v>
      </c>
      <c r="E8" s="22" t="s">
        <v>106</v>
      </c>
      <c r="F8" s="22" t="s">
        <v>76</v>
      </c>
      <c r="G8" s="23">
        <v>45894</v>
      </c>
      <c r="H8" s="22" t="s">
        <v>77</v>
      </c>
      <c r="I8" s="22" t="s">
        <v>112</v>
      </c>
      <c r="J8" s="22"/>
      <c r="K8" s="22"/>
      <c r="L8" s="22"/>
      <c r="M8" s="22"/>
      <c r="N8" s="22"/>
      <c r="O8" s="37" t="s">
        <v>25</v>
      </c>
      <c r="P8" s="22" t="str">
        <f>IFERROR(VLOOKUP(O8,'Excel Table (Do Not Format)'!A:D,2,FALSE),"")</f>
        <v>Core Talent [M,M]</v>
      </c>
      <c r="Q8" s="22" t="str">
        <f>IFERROR(VLOOKUP(O8,'Excel Table (Do Not Format)'!A:D,3,FALSE),"")</f>
        <v>identify performance barriers, explore portential to expand responsibilties in current role and discuss career aspirations (ideally for talent new in role)</v>
      </c>
      <c r="R8" s="22" t="str">
        <f>IFERROR(VLOOKUP(O8,'Excel Table (Do Not Format)'!A:D,4,FALSE),"")</f>
        <v xml:space="preserve">Develop in Role - Identify developmental activities to continue to grow their skill and set them up for success for anticiapted progression </v>
      </c>
      <c r="S8" s="37" t="s">
        <v>113</v>
      </c>
      <c r="T8" s="38" t="s">
        <v>80</v>
      </c>
      <c r="U8" s="2" t="s">
        <v>108</v>
      </c>
      <c r="V8" s="2" t="s">
        <v>82</v>
      </c>
      <c r="W8" s="2" t="s">
        <v>109</v>
      </c>
      <c r="X8" s="2" t="s">
        <v>108</v>
      </c>
    </row>
    <row r="9" spans="1:24" ht="56.15" customHeight="1">
      <c r="A9" s="22">
        <v>1324</v>
      </c>
      <c r="B9" s="22" t="s">
        <v>114</v>
      </c>
      <c r="C9" s="22" t="s">
        <v>115</v>
      </c>
      <c r="D9" s="22" t="s">
        <v>115</v>
      </c>
      <c r="E9" s="22" t="s">
        <v>116</v>
      </c>
      <c r="F9" s="22" t="s">
        <v>117</v>
      </c>
      <c r="G9" s="23">
        <v>41918</v>
      </c>
      <c r="H9" s="22" t="s">
        <v>118</v>
      </c>
      <c r="I9" s="22" t="s">
        <v>119</v>
      </c>
      <c r="J9" s="22" t="s">
        <v>88</v>
      </c>
      <c r="K9" s="22" t="s">
        <v>88</v>
      </c>
      <c r="L9" s="22" t="s">
        <v>90</v>
      </c>
      <c r="M9" s="22" t="s">
        <v>103</v>
      </c>
      <c r="N9" s="30" cm="1">
        <f t="array" ref="N9">IF(OR(L9="",M9=""),"", IF(OR(ISNA(MATCH(L9,{"Low","Medium","High"},0)), ISNA(MATCH(M9,{"Low","Medium","High"},0))),"",_xlfn.SWITCH(L9,"Low",1,"Medium",2,"High",3) + 3 * _xlfn.SWITCH(M9,"Low",1,"Medium",2,"High",3) - 3))</f>
        <v>2</v>
      </c>
      <c r="O9" s="37" t="s">
        <v>10</v>
      </c>
      <c r="P9" s="22" t="str">
        <f>IFERROR(VLOOKUP(O9,'Excel Table (Do Not Format)'!A:D,2,FALSE),"")</f>
        <v>Underperforming Talent [L,L]</v>
      </c>
      <c r="Q9" s="22" t="str">
        <f>IFERROR(VLOOKUP(O9,'Excel Table (Do Not Format)'!A:D,3,FALSE),"")</f>
        <v xml:space="preserve">re-assign or manage out of Alteryx </v>
      </c>
      <c r="R9" s="22" t="str">
        <f>IFERROR(VLOOKUP(O9,'Excel Table (Do Not Format)'!A:D,4,FALSE),"")</f>
        <v xml:space="preserve">Make A Plan -  Identify a plan to improve performance in partnership with HR </v>
      </c>
      <c r="S9" s="37" t="s">
        <v>120</v>
      </c>
      <c r="T9" s="38" t="s">
        <v>80</v>
      </c>
      <c r="U9" s="2" t="s">
        <v>71</v>
      </c>
      <c r="V9" s="2" t="s">
        <v>72</v>
      </c>
      <c r="W9" s="2" t="s">
        <v>71</v>
      </c>
      <c r="X9" s="2"/>
    </row>
    <row r="10" spans="1:24" ht="56.15" customHeight="1">
      <c r="A10" s="22">
        <v>105874</v>
      </c>
      <c r="B10" s="22" t="s">
        <v>121</v>
      </c>
      <c r="C10" s="22" t="s">
        <v>122</v>
      </c>
      <c r="D10" s="22" t="s">
        <v>123</v>
      </c>
      <c r="E10" s="22" t="s">
        <v>123</v>
      </c>
      <c r="F10" s="22" t="s">
        <v>117</v>
      </c>
      <c r="G10" s="23">
        <v>45698</v>
      </c>
      <c r="H10" s="22" t="s">
        <v>124</v>
      </c>
      <c r="I10" s="22" t="s">
        <v>125</v>
      </c>
      <c r="J10" s="22"/>
      <c r="K10" s="22"/>
      <c r="L10" s="22" t="s">
        <v>90</v>
      </c>
      <c r="M10" s="22" t="s">
        <v>90</v>
      </c>
      <c r="N10" s="30" cm="1">
        <f t="array" ref="N10">IF(OR(L10="",M10=""),"", IF(OR(ISNA(MATCH(L10,{"Low","Medium","High"},0)), ISNA(MATCH(M10,{"Low","Medium","High"},0))),"",_xlfn.SWITCH(L10,"Low",1,"Medium",2,"High",3) + 3 * _xlfn.SWITCH(M10,"Low",1,"Medium",2,"High",3) - 3))</f>
        <v>5</v>
      </c>
      <c r="O10" s="37" t="s">
        <v>25</v>
      </c>
      <c r="P10" s="22" t="str">
        <f>IFERROR(VLOOKUP(O10,'Excel Table (Do Not Format)'!A:D,2,FALSE),"")</f>
        <v>Core Talent [M,M]</v>
      </c>
      <c r="Q10" s="22" t="str">
        <f>IFERROR(VLOOKUP(O10,'Excel Table (Do Not Format)'!A:D,3,FALSE),"")</f>
        <v>identify performance barriers, explore portential to expand responsibilties in current role and discuss career aspirations (ideally for talent new in role)</v>
      </c>
      <c r="R10" s="22" t="str">
        <f>IFERROR(VLOOKUP(O10,'Excel Table (Do Not Format)'!A:D,4,FALSE),"")</f>
        <v xml:space="preserve">Develop in Role - Identify developmental activities to continue to grow their skill and set them up for success for anticiapted progression </v>
      </c>
      <c r="S10" s="37"/>
      <c r="T10" s="38"/>
      <c r="U10" s="2" t="s">
        <v>126</v>
      </c>
      <c r="V10" s="2" t="s">
        <v>82</v>
      </c>
      <c r="W10" s="2" t="s">
        <v>126</v>
      </c>
      <c r="X10" s="2"/>
    </row>
    <row r="11" spans="1:24" ht="56.15" customHeight="1">
      <c r="A11" s="22">
        <v>105886</v>
      </c>
      <c r="B11" s="22" t="s">
        <v>127</v>
      </c>
      <c r="C11" s="22" t="s">
        <v>94</v>
      </c>
      <c r="D11" s="22" t="s">
        <v>85</v>
      </c>
      <c r="E11" s="22" t="s">
        <v>85</v>
      </c>
      <c r="F11" s="22" t="s">
        <v>86</v>
      </c>
      <c r="G11" s="23">
        <v>45656</v>
      </c>
      <c r="H11" s="22" t="s">
        <v>101</v>
      </c>
      <c r="I11" s="22" t="s">
        <v>128</v>
      </c>
      <c r="J11" s="22"/>
      <c r="K11" s="22"/>
      <c r="L11" s="22" t="s">
        <v>90</v>
      </c>
      <c r="M11" s="22" t="s">
        <v>90</v>
      </c>
      <c r="N11" s="30" cm="1">
        <f t="array" ref="N11">IF(OR(L11="",M11=""),"", IF(OR(ISNA(MATCH(L11,{"Low","Medium","High"},0)), ISNA(MATCH(M11,{"Low","Medium","High"},0))),"",_xlfn.SWITCH(L11,"Low",1,"Medium",2,"High",3) + 3 * _xlfn.SWITCH(M11,"Low",1,"Medium",2,"High",3) - 3))</f>
        <v>5</v>
      </c>
      <c r="O11" s="37" t="s">
        <v>25</v>
      </c>
      <c r="P11" s="22" t="str">
        <f>IFERROR(VLOOKUP(O11,'Excel Table (Do Not Format)'!A:D,2,FALSE),"")</f>
        <v>Core Talent [M,M]</v>
      </c>
      <c r="Q11" s="22" t="str">
        <f>IFERROR(VLOOKUP(O11,'Excel Table (Do Not Format)'!A:D,3,FALSE),"")</f>
        <v>identify performance barriers, explore portential to expand responsibilties in current role and discuss career aspirations (ideally for talent new in role)</v>
      </c>
      <c r="R11" s="22" t="str">
        <f>IFERROR(VLOOKUP(O11,'Excel Table (Do Not Format)'!A:D,4,FALSE),"")</f>
        <v xml:space="preserve">Develop in Role - Identify developmental activities to continue to grow their skill and set them up for success for anticiapted progression </v>
      </c>
      <c r="S11" s="37"/>
      <c r="T11" s="38"/>
      <c r="U11" s="2" t="s">
        <v>98</v>
      </c>
      <c r="V11" s="2" t="s">
        <v>82</v>
      </c>
      <c r="W11" s="2" t="s">
        <v>98</v>
      </c>
      <c r="X11" s="2"/>
    </row>
    <row r="12" spans="1:24" ht="108.75" customHeight="1">
      <c r="A12" s="22">
        <v>101560</v>
      </c>
      <c r="B12" s="22" t="s">
        <v>129</v>
      </c>
      <c r="C12" s="22" t="s">
        <v>130</v>
      </c>
      <c r="D12" s="22" t="s">
        <v>130</v>
      </c>
      <c r="E12" s="22" t="s">
        <v>130</v>
      </c>
      <c r="F12" s="22" t="s">
        <v>117</v>
      </c>
      <c r="G12" s="23">
        <v>44180</v>
      </c>
      <c r="H12" s="22" t="s">
        <v>66</v>
      </c>
      <c r="I12" s="22" t="s">
        <v>131</v>
      </c>
      <c r="J12" s="22" t="s">
        <v>88</v>
      </c>
      <c r="K12" s="22" t="s">
        <v>89</v>
      </c>
      <c r="L12" s="22" t="s">
        <v>90</v>
      </c>
      <c r="M12" s="22" t="s">
        <v>90</v>
      </c>
      <c r="N12" s="30" cm="1">
        <f t="array" ref="N12">IF(OR(L12="",M12=""),"", IF(OR(ISNA(MATCH(L12,{"Low","Medium","High"},0)), ISNA(MATCH(M12,{"Low","Medium","High"},0))),"",_xlfn.SWITCH(L12,"Low",1,"Medium",2,"High",3) + 3 * _xlfn.SWITCH(M12,"Low",1,"Medium",2,"High",3) - 3))</f>
        <v>5</v>
      </c>
      <c r="O12" s="37" t="s">
        <v>39</v>
      </c>
      <c r="P12" s="22" t="str">
        <f>IFERROR(VLOOKUP(O12,'Excel Table (Do Not Format)'!A:D,2,FALSE),"")</f>
        <v>Top Talent [H,H]</v>
      </c>
      <c r="Q12" s="22" t="str">
        <f>IFERROR(VLOOKUP(O12,'Excel Table (Do Not Format)'!A:D,3,FALSE),"")</f>
        <v xml:space="preserve">identify stretch experiences or temporary assignments, increase executive exposure </v>
      </c>
      <c r="R12" s="22" t="str">
        <f>IFERROR(VLOOKUP(O12,'Excel Table (Do Not Format)'!A:D,4,FALSE),"")</f>
        <v xml:space="preserve">Differentially Invest - Ensure career discussions are happening regualrly? Do they have an individual development plan? What opportunities exist to accelerate development and growth? Revisit talent often to plan for next steps. </v>
      </c>
      <c r="S12" s="37" t="s">
        <v>132</v>
      </c>
      <c r="T12" s="38" t="s">
        <v>92</v>
      </c>
      <c r="U12" s="2" t="s">
        <v>133</v>
      </c>
      <c r="V12" s="2" t="s">
        <v>72</v>
      </c>
      <c r="W12" s="2" t="s">
        <v>134</v>
      </c>
      <c r="X12" s="2"/>
    </row>
    <row r="13" spans="1:24" ht="56.15" customHeight="1">
      <c r="A13" s="22">
        <v>105905</v>
      </c>
      <c r="B13" s="22" t="s">
        <v>135</v>
      </c>
      <c r="C13" s="22" t="s">
        <v>136</v>
      </c>
      <c r="D13" s="22" t="s">
        <v>137</v>
      </c>
      <c r="E13" s="22" t="s">
        <v>137</v>
      </c>
      <c r="F13" s="22" t="s">
        <v>138</v>
      </c>
      <c r="G13" s="23">
        <v>45663</v>
      </c>
      <c r="H13" s="22" t="s">
        <v>101</v>
      </c>
      <c r="I13" s="22" t="s">
        <v>139</v>
      </c>
      <c r="J13" s="22"/>
      <c r="K13" s="22"/>
      <c r="L13" s="22" t="s">
        <v>90</v>
      </c>
      <c r="M13" s="22" t="s">
        <v>90</v>
      </c>
      <c r="N13" s="30" cm="1">
        <f t="array" ref="N13">IF(OR(L13="",M13=""),"", IF(OR(ISNA(MATCH(L13,{"Low","Medium","High"},0)), ISNA(MATCH(M13,{"Low","Medium","High"},0))),"",_xlfn.SWITCH(L13,"Low",1,"Medium",2,"High",3) + 3 * _xlfn.SWITCH(M13,"Low",1,"Medium",2,"High",3) - 3))</f>
        <v>5</v>
      </c>
      <c r="O13" s="37" t="s">
        <v>25</v>
      </c>
      <c r="P13" s="22" t="str">
        <f>IFERROR(VLOOKUP(O13,'Excel Table (Do Not Format)'!A:D,2,FALSE),"")</f>
        <v>Core Talent [M,M]</v>
      </c>
      <c r="Q13" s="22" t="str">
        <f>IFERROR(VLOOKUP(O13,'Excel Table (Do Not Format)'!A:D,3,FALSE),"")</f>
        <v>identify performance barriers, explore portential to expand responsibilties in current role and discuss career aspirations (ideally for talent new in role)</v>
      </c>
      <c r="R13" s="22" t="str">
        <f>IFERROR(VLOOKUP(O13,'Excel Table (Do Not Format)'!A:D,4,FALSE),"")</f>
        <v xml:space="preserve">Develop in Role - Identify developmental activities to continue to grow their skill and set them up for success for anticiapted progression </v>
      </c>
      <c r="S13" s="37"/>
      <c r="T13" s="38"/>
      <c r="U13" s="2" t="s">
        <v>140</v>
      </c>
      <c r="V13" s="2" t="s">
        <v>82</v>
      </c>
      <c r="W13" s="2" t="s">
        <v>109</v>
      </c>
      <c r="X13" s="2" t="s">
        <v>140</v>
      </c>
    </row>
    <row r="14" spans="1:24" ht="56.15" customHeight="1">
      <c r="A14" s="22">
        <v>103538</v>
      </c>
      <c r="B14" s="22" t="s">
        <v>141</v>
      </c>
      <c r="C14" s="22" t="s">
        <v>142</v>
      </c>
      <c r="D14" s="22" t="s">
        <v>143</v>
      </c>
      <c r="E14" s="22" t="s">
        <v>143</v>
      </c>
      <c r="F14" s="22" t="s">
        <v>117</v>
      </c>
      <c r="G14" s="23">
        <v>45922</v>
      </c>
      <c r="H14" s="22" t="s">
        <v>77</v>
      </c>
      <c r="I14" s="22" t="s">
        <v>144</v>
      </c>
      <c r="J14" s="22" t="s">
        <v>89</v>
      </c>
      <c r="K14" s="22"/>
      <c r="L14" s="22"/>
      <c r="M14" s="22"/>
      <c r="N14" s="22"/>
      <c r="O14" s="37" t="s">
        <v>25</v>
      </c>
      <c r="P14" s="22" t="str">
        <f>IFERROR(VLOOKUP(O14,'Excel Table (Do Not Format)'!A:D,2,FALSE),"")</f>
        <v>Core Talent [M,M]</v>
      </c>
      <c r="Q14" s="22" t="str">
        <f>IFERROR(VLOOKUP(O14,'Excel Table (Do Not Format)'!A:D,3,FALSE),"")</f>
        <v>identify performance barriers, explore portential to expand responsibilties in current role and discuss career aspirations (ideally for talent new in role)</v>
      </c>
      <c r="R14" s="22" t="str">
        <f>IFERROR(VLOOKUP(O14,'Excel Table (Do Not Format)'!A:D,4,FALSE),"")</f>
        <v xml:space="preserve">Develop in Role - Identify developmental activities to continue to grow their skill and set them up for success for anticiapted progression </v>
      </c>
      <c r="S14" s="37"/>
      <c r="T14" s="38"/>
      <c r="U14" s="2" t="s">
        <v>145</v>
      </c>
      <c r="V14" s="2" t="s">
        <v>82</v>
      </c>
      <c r="W14" s="2" t="s">
        <v>145</v>
      </c>
      <c r="X14" s="2"/>
    </row>
    <row r="15" spans="1:24" ht="56.15" customHeight="1">
      <c r="A15" s="22">
        <v>102092</v>
      </c>
      <c r="B15" s="22" t="s">
        <v>146</v>
      </c>
      <c r="C15" s="22" t="s">
        <v>63</v>
      </c>
      <c r="D15" s="22" t="s">
        <v>63</v>
      </c>
      <c r="E15" s="22" t="s">
        <v>64</v>
      </c>
      <c r="F15" s="22" t="s">
        <v>65</v>
      </c>
      <c r="G15" s="23">
        <v>44389</v>
      </c>
      <c r="H15" s="22" t="s">
        <v>66</v>
      </c>
      <c r="I15" s="22" t="s">
        <v>147</v>
      </c>
      <c r="J15" s="22" t="s">
        <v>89</v>
      </c>
      <c r="K15" s="22" t="s">
        <v>68</v>
      </c>
      <c r="L15" s="22" t="s">
        <v>103</v>
      </c>
      <c r="M15" s="22" t="s">
        <v>103</v>
      </c>
      <c r="N15" s="30" cm="1">
        <f t="array" ref="N15">IF(OR(L15="",M15=""),"", IF(OR(ISNA(MATCH(L15,{"Low","Medium","High"},0)), ISNA(MATCH(M15,{"Low","Medium","High"},0))),"",_xlfn.SWITCH(L15,"Low",1,"Medium",2,"High",3) + 3 * _xlfn.SWITCH(M15,"Low",1,"Medium",2,"High",3) - 3))</f>
        <v>1</v>
      </c>
      <c r="O15" s="37" t="s">
        <v>10</v>
      </c>
      <c r="P15" s="22" t="str">
        <f>IFERROR(VLOOKUP(O15,'Excel Table (Do Not Format)'!A:D,2,FALSE),"")</f>
        <v>Underperforming Talent [L,L]</v>
      </c>
      <c r="Q15" s="22" t="str">
        <f>IFERROR(VLOOKUP(O15,'Excel Table (Do Not Format)'!A:D,3,FALSE),"")</f>
        <v xml:space="preserve">re-assign or manage out of Alteryx </v>
      </c>
      <c r="R15" s="22" t="str">
        <f>IFERROR(VLOOKUP(O15,'Excel Table (Do Not Format)'!A:D,4,FALSE),"")</f>
        <v xml:space="preserve">Make A Plan -  Identify a plan to improve performance in partnership with HR </v>
      </c>
      <c r="S15" s="37"/>
      <c r="T15" s="38"/>
      <c r="U15" s="2" t="s">
        <v>148</v>
      </c>
      <c r="V15" s="2" t="s">
        <v>148</v>
      </c>
      <c r="W15" s="2" t="s">
        <v>148</v>
      </c>
      <c r="X15" s="2"/>
    </row>
    <row r="16" spans="1:24" ht="56.15" customHeight="1">
      <c r="A16" s="22">
        <v>106400</v>
      </c>
      <c r="B16" s="22" t="s">
        <v>149</v>
      </c>
      <c r="C16" s="22" t="s">
        <v>63</v>
      </c>
      <c r="D16" s="22" t="s">
        <v>150</v>
      </c>
      <c r="E16" s="22" t="s">
        <v>150</v>
      </c>
      <c r="F16" s="22" t="s">
        <v>65</v>
      </c>
      <c r="G16" s="23">
        <v>45964</v>
      </c>
      <c r="H16" s="22" t="s">
        <v>77</v>
      </c>
      <c r="I16" s="22" t="s">
        <v>151</v>
      </c>
      <c r="J16" s="22"/>
      <c r="K16" s="22"/>
      <c r="L16" s="22"/>
      <c r="M16" s="22"/>
      <c r="N16" s="22"/>
      <c r="O16" s="37" t="s">
        <v>25</v>
      </c>
      <c r="P16" s="22" t="str">
        <f>IFERROR(VLOOKUP(O16,'Excel Table (Do Not Format)'!A:D,2,FALSE),"")</f>
        <v>Core Talent [M,M]</v>
      </c>
      <c r="Q16" s="22" t="str">
        <f>IFERROR(VLOOKUP(O16,'Excel Table (Do Not Format)'!A:D,3,FALSE),"")</f>
        <v>identify performance barriers, explore portential to expand responsibilties in current role and discuss career aspirations (ideally for talent new in role)</v>
      </c>
      <c r="R16" s="22" t="str">
        <f>IFERROR(VLOOKUP(O16,'Excel Table (Do Not Format)'!A:D,4,FALSE),"")</f>
        <v xml:space="preserve">Develop in Role - Identify developmental activities to continue to grow their skill and set them up for success for anticiapted progression </v>
      </c>
      <c r="S16" s="37"/>
      <c r="T16" s="38"/>
      <c r="U16" s="2" t="s">
        <v>152</v>
      </c>
      <c r="V16" s="2" t="s">
        <v>148</v>
      </c>
      <c r="W16" s="2" t="s">
        <v>152</v>
      </c>
      <c r="X16" s="2"/>
    </row>
    <row r="17" spans="1:24" ht="56.15" customHeight="1">
      <c r="A17" s="22">
        <v>104466</v>
      </c>
      <c r="B17" s="22" t="s">
        <v>153</v>
      </c>
      <c r="C17" s="22" t="s">
        <v>154</v>
      </c>
      <c r="D17" s="22" t="s">
        <v>155</v>
      </c>
      <c r="E17" s="22" t="s">
        <v>155</v>
      </c>
      <c r="F17" s="22" t="s">
        <v>76</v>
      </c>
      <c r="G17" s="23">
        <v>44823</v>
      </c>
      <c r="H17" s="22" t="s">
        <v>66</v>
      </c>
      <c r="I17" s="22" t="s">
        <v>156</v>
      </c>
      <c r="J17" s="22" t="s">
        <v>89</v>
      </c>
      <c r="K17" s="22" t="s">
        <v>89</v>
      </c>
      <c r="L17" s="22" t="s">
        <v>69</v>
      </c>
      <c r="M17" s="22" t="s">
        <v>69</v>
      </c>
      <c r="N17" s="30" cm="1">
        <f t="array" ref="N17">IF(OR(L17="",M17=""),"", IF(OR(ISNA(MATCH(L17,{"Low","Medium","High"},0)), ISNA(MATCH(M17,{"Low","Medium","High"},0))),"",_xlfn.SWITCH(L17,"Low",1,"Medium",2,"High",3) + 3 * _xlfn.SWITCH(M17,"Low",1,"Medium",2,"High",3) - 3))</f>
        <v>9</v>
      </c>
      <c r="O17" s="37" t="s">
        <v>39</v>
      </c>
      <c r="P17" s="22" t="str">
        <f>IFERROR(VLOOKUP(O17,'Excel Table (Do Not Format)'!A:D,2,FALSE),"")</f>
        <v>Top Talent [H,H]</v>
      </c>
      <c r="Q17" s="22" t="str">
        <f>IFERROR(VLOOKUP(O17,'Excel Table (Do Not Format)'!A:D,3,FALSE),"")</f>
        <v xml:space="preserve">identify stretch experiences or temporary assignments, increase executive exposure </v>
      </c>
      <c r="R17" s="22" t="str">
        <f>IFERROR(VLOOKUP(O17,'Excel Table (Do Not Format)'!A:D,4,FALSE),"")</f>
        <v xml:space="preserve">Differentially Invest - Ensure career discussions are happening regualrly? Do they have an individual development plan? What opportunities exist to accelerate development and growth? Revisit talent often to plan for next steps. </v>
      </c>
      <c r="S17" s="37"/>
      <c r="T17" s="38"/>
      <c r="U17" s="2" t="s">
        <v>157</v>
      </c>
      <c r="V17" s="2" t="s">
        <v>148</v>
      </c>
      <c r="W17" s="2" t="s">
        <v>157</v>
      </c>
      <c r="X17" s="2"/>
    </row>
    <row r="18" spans="1:24" ht="56.15" customHeight="1">
      <c r="A18" s="22">
        <v>102042</v>
      </c>
      <c r="B18" s="22" t="s">
        <v>158</v>
      </c>
      <c r="C18" s="22" t="s">
        <v>116</v>
      </c>
      <c r="D18" s="22" t="s">
        <v>116</v>
      </c>
      <c r="E18" s="22" t="s">
        <v>116</v>
      </c>
      <c r="F18" s="22" t="s">
        <v>117</v>
      </c>
      <c r="G18" s="23">
        <v>44760</v>
      </c>
      <c r="H18" s="22" t="s">
        <v>66</v>
      </c>
      <c r="I18" s="22" t="s">
        <v>159</v>
      </c>
      <c r="J18" s="22" t="s">
        <v>89</v>
      </c>
      <c r="K18" s="22" t="s">
        <v>88</v>
      </c>
      <c r="L18" s="22" t="s">
        <v>69</v>
      </c>
      <c r="M18" s="22" t="s">
        <v>69</v>
      </c>
      <c r="N18" s="30" cm="1">
        <f t="array" ref="N18">IF(OR(L18="",M18=""),"", IF(OR(ISNA(MATCH(L18,{"Low","Medium","High"},0)), ISNA(MATCH(M18,{"Low","Medium","High"},0))),"",_xlfn.SWITCH(L18,"Low",1,"Medium",2,"High",3) + 3 * _xlfn.SWITCH(M18,"Low",1,"Medium",2,"High",3) - 3))</f>
        <v>9</v>
      </c>
      <c r="O18" s="37" t="s">
        <v>36</v>
      </c>
      <c r="P18" s="22" t="str">
        <f>IFERROR(VLOOKUP(O18,'Excel Table (Do Not Format)'!A:D,2,FALSE),"")</f>
        <v>Growth Talent [M,H]</v>
      </c>
      <c r="Q18" s="22" t="str">
        <f>IFERROR(VLOOKUP(O18,'Excel Table (Do Not Format)'!A:D,3,FALSE),"")</f>
        <v xml:space="preserve">identify performance barriers, explore portential to expand responsibilties in current role </v>
      </c>
      <c r="R18" s="22" t="str">
        <f>IFERROR(VLOOKUP(O18,'Excel Table (Do Not Format)'!A:D,4,FALSE),"")</f>
        <v xml:space="preserve">Differentially Invest - Ensure career discussions are happening regualrly? Do they have an individual development plan? What opportunities exist to accelerate development and growth? Revisit talent often to plan for next steps. </v>
      </c>
      <c r="S18" s="37" t="s">
        <v>160</v>
      </c>
      <c r="T18" s="38" t="s">
        <v>80</v>
      </c>
      <c r="U18" s="2" t="s">
        <v>71</v>
      </c>
      <c r="V18" s="2" t="s">
        <v>72</v>
      </c>
      <c r="W18" s="2" t="s">
        <v>71</v>
      </c>
      <c r="X18" s="2"/>
    </row>
    <row r="19" spans="1:24" ht="56.15" customHeight="1">
      <c r="A19" s="22">
        <v>2298</v>
      </c>
      <c r="B19" s="22" t="s">
        <v>161</v>
      </c>
      <c r="C19" s="22" t="s">
        <v>162</v>
      </c>
      <c r="D19" s="22" t="s">
        <v>162</v>
      </c>
      <c r="E19" s="22" t="s">
        <v>162</v>
      </c>
      <c r="F19" s="22" t="s">
        <v>163</v>
      </c>
      <c r="G19" s="23">
        <v>43402</v>
      </c>
      <c r="H19" s="22" t="s">
        <v>164</v>
      </c>
      <c r="I19" s="22" t="s">
        <v>165</v>
      </c>
      <c r="J19" s="22" t="s">
        <v>68</v>
      </c>
      <c r="K19" s="22" t="s">
        <v>68</v>
      </c>
      <c r="L19" s="22" t="s">
        <v>69</v>
      </c>
      <c r="M19" s="22" t="s">
        <v>69</v>
      </c>
      <c r="N19" s="30" cm="1">
        <f t="array" ref="N19">IF(OR(L19="",M19=""),"", IF(OR(ISNA(MATCH(L19,{"Low","Medium","High"},0)), ISNA(MATCH(M19,{"Low","Medium","High"},0))),"",_xlfn.SWITCH(L19,"Low",1,"Medium",2,"High",3) + 3 * _xlfn.SWITCH(M19,"Low",1,"Medium",2,"High",3) - 3))</f>
        <v>9</v>
      </c>
      <c r="O19" s="37" t="s">
        <v>39</v>
      </c>
      <c r="P19" s="22" t="str">
        <f>IFERROR(VLOOKUP(O19,'Excel Table (Do Not Format)'!A:D,2,FALSE),"")</f>
        <v>Top Talent [H,H]</v>
      </c>
      <c r="Q19" s="22" t="str">
        <f>IFERROR(VLOOKUP(O19,'Excel Table (Do Not Format)'!A:D,3,FALSE),"")</f>
        <v xml:space="preserve">identify stretch experiences or temporary assignments, increase executive exposure </v>
      </c>
      <c r="R19" s="22" t="str">
        <f>IFERROR(VLOOKUP(O19,'Excel Table (Do Not Format)'!A:D,4,FALSE),"")</f>
        <v xml:space="preserve">Differentially Invest - Ensure career discussions are happening regualrly? Do they have an individual development plan? What opportunities exist to accelerate development and growth? Revisit talent often to plan for next steps. </v>
      </c>
      <c r="S19" s="37"/>
      <c r="T19" s="38"/>
      <c r="U19" s="2" t="s">
        <v>148</v>
      </c>
      <c r="V19" s="2" t="s">
        <v>148</v>
      </c>
      <c r="W19" s="2"/>
      <c r="X19" s="2"/>
    </row>
    <row r="20" spans="1:24" ht="56.15" customHeight="1">
      <c r="A20" s="22">
        <v>101375</v>
      </c>
      <c r="B20" s="22" t="s">
        <v>166</v>
      </c>
      <c r="C20" s="22" t="s">
        <v>142</v>
      </c>
      <c r="D20" s="22" t="s">
        <v>143</v>
      </c>
      <c r="E20" s="22" t="s">
        <v>143</v>
      </c>
      <c r="F20" s="22" t="s">
        <v>117</v>
      </c>
      <c r="G20" s="23">
        <v>43962</v>
      </c>
      <c r="H20" s="22" t="s">
        <v>164</v>
      </c>
      <c r="I20" s="22" t="s">
        <v>167</v>
      </c>
      <c r="J20" s="22" t="s">
        <v>89</v>
      </c>
      <c r="K20" s="22" t="s">
        <v>89</v>
      </c>
      <c r="L20" s="22" t="s">
        <v>103</v>
      </c>
      <c r="M20" s="22" t="s">
        <v>103</v>
      </c>
      <c r="N20" s="30" cm="1">
        <f t="array" ref="N20">IF(OR(L20="",M20=""),"", IF(OR(ISNA(MATCH(L20,{"Low","Medium","High"},0)), ISNA(MATCH(M20,{"Low","Medium","High"},0))),"",_xlfn.SWITCH(L20,"Low",1,"Medium",2,"High",3) + 3 * _xlfn.SWITCH(M20,"Low",1,"Medium",2,"High",3) - 3))</f>
        <v>1</v>
      </c>
      <c r="O20" s="37" t="s">
        <v>14</v>
      </c>
      <c r="P20" s="22" t="str">
        <f>IFERROR(VLOOKUP(O20,'Excel Table (Do Not Format)'!A:D,2,FALSE),"")</f>
        <v>Solid Talent [M,L]</v>
      </c>
      <c r="Q20" s="22" t="str">
        <f>IFERROR(VLOOKUP(O20,'Excel Table (Do Not Format)'!A:D,3,FALSE),"")</f>
        <v xml:space="preserve">consider expanding current role, explore lateral/development opportunities </v>
      </c>
      <c r="R20" s="22" t="str">
        <f>IFERROR(VLOOKUP(O20,'Excel Table (Do Not Format)'!A:D,4,FALSE),"")</f>
        <v xml:space="preserve">Develop in Role - Identify developmental activities to continue to grow their skill and set them up for success for anticiapted progression </v>
      </c>
      <c r="S20" s="37" t="s">
        <v>168</v>
      </c>
      <c r="T20" s="38" t="s">
        <v>80</v>
      </c>
      <c r="U20" s="2" t="s">
        <v>145</v>
      </c>
      <c r="V20" s="2" t="s">
        <v>82</v>
      </c>
      <c r="W20" s="2" t="s">
        <v>145</v>
      </c>
      <c r="X20" s="2"/>
    </row>
    <row r="21" spans="1:24" ht="56.15" customHeight="1">
      <c r="A21" s="22">
        <v>103231</v>
      </c>
      <c r="B21" s="22" t="s">
        <v>169</v>
      </c>
      <c r="C21" s="22" t="s">
        <v>170</v>
      </c>
      <c r="D21" s="22" t="s">
        <v>170</v>
      </c>
      <c r="E21" s="22" t="s">
        <v>171</v>
      </c>
      <c r="F21" s="22" t="s">
        <v>76</v>
      </c>
      <c r="G21" s="23">
        <v>44599</v>
      </c>
      <c r="H21" s="22" t="s">
        <v>66</v>
      </c>
      <c r="I21" s="22" t="s">
        <v>156</v>
      </c>
      <c r="J21" s="22" t="s">
        <v>88</v>
      </c>
      <c r="K21" s="22" t="s">
        <v>89</v>
      </c>
      <c r="L21" s="22" t="s">
        <v>69</v>
      </c>
      <c r="M21" s="22" t="s">
        <v>69</v>
      </c>
      <c r="N21" s="30" cm="1">
        <f t="array" ref="N21">IF(OR(L21="",M21=""),"", IF(OR(ISNA(MATCH(L21,{"Low","Medium","High"},0)), ISNA(MATCH(M21,{"Low","Medium","High"},0))),"",_xlfn.SWITCH(L21,"Low",1,"Medium",2,"High",3) + 3 * _xlfn.SWITCH(M21,"Low",1,"Medium",2,"High",3) - 3))</f>
        <v>9</v>
      </c>
      <c r="O21" s="37" t="s">
        <v>39</v>
      </c>
      <c r="P21" s="22" t="str">
        <f>IFERROR(VLOOKUP(O21,'Excel Table (Do Not Format)'!A:D,2,FALSE),"")</f>
        <v>Top Talent [H,H]</v>
      </c>
      <c r="Q21" s="22" t="str">
        <f>IFERROR(VLOOKUP(O21,'Excel Table (Do Not Format)'!A:D,3,FALSE),"")</f>
        <v xml:space="preserve">identify stretch experiences or temporary assignments, increase executive exposure </v>
      </c>
      <c r="R21" s="22" t="str">
        <f>IFERROR(VLOOKUP(O21,'Excel Table (Do Not Format)'!A:D,4,FALSE),"")</f>
        <v xml:space="preserve">Differentially Invest - Ensure career discussions are happening regualrly? Do they have an individual development plan? What opportunities exist to accelerate development and growth? Revisit talent often to plan for next steps. </v>
      </c>
      <c r="S21" s="37"/>
      <c r="T21" s="38"/>
      <c r="U21" s="2" t="s">
        <v>140</v>
      </c>
      <c r="V21" s="2" t="s">
        <v>82</v>
      </c>
      <c r="W21" s="2" t="s">
        <v>109</v>
      </c>
      <c r="X21" s="2" t="s">
        <v>140</v>
      </c>
    </row>
    <row r="22" spans="1:24" ht="56.15" customHeight="1">
      <c r="A22" s="22">
        <v>2074</v>
      </c>
      <c r="B22" s="22" t="s">
        <v>172</v>
      </c>
      <c r="C22" s="22" t="s">
        <v>154</v>
      </c>
      <c r="D22" s="22" t="s">
        <v>154</v>
      </c>
      <c r="E22" s="22" t="s">
        <v>173</v>
      </c>
      <c r="F22" s="22" t="s">
        <v>76</v>
      </c>
      <c r="G22" s="23">
        <v>43206</v>
      </c>
      <c r="H22" s="22" t="s">
        <v>164</v>
      </c>
      <c r="I22" s="22" t="s">
        <v>174</v>
      </c>
      <c r="J22" s="22" t="s">
        <v>88</v>
      </c>
      <c r="K22" s="22" t="s">
        <v>88</v>
      </c>
      <c r="L22" s="22" t="s">
        <v>69</v>
      </c>
      <c r="M22" s="22" t="s">
        <v>69</v>
      </c>
      <c r="N22" s="30" cm="1">
        <f t="array" ref="N22">IF(OR(L22="",M22=""),"", IF(OR(ISNA(MATCH(L22,{"Low","Medium","High"},0)), ISNA(MATCH(M22,{"Low","Medium","High"},0))),"",_xlfn.SWITCH(L22,"Low",1,"Medium",2,"High",3) + 3 * _xlfn.SWITCH(M22,"Low",1,"Medium",2,"High",3) - 3))</f>
        <v>9</v>
      </c>
      <c r="O22" s="37" t="s">
        <v>39</v>
      </c>
      <c r="P22" s="22" t="str">
        <f>IFERROR(VLOOKUP(O22,'Excel Table (Do Not Format)'!A:D,2,FALSE),"")</f>
        <v>Top Talent [H,H]</v>
      </c>
      <c r="Q22" s="22" t="str">
        <f>IFERROR(VLOOKUP(O22,'Excel Table (Do Not Format)'!A:D,3,FALSE),"")</f>
        <v xml:space="preserve">identify stretch experiences or temporary assignments, increase executive exposure </v>
      </c>
      <c r="R22" s="22" t="str">
        <f>IFERROR(VLOOKUP(O22,'Excel Table (Do Not Format)'!A:D,4,FALSE),"")</f>
        <v xml:space="preserve">Differentially Invest - Ensure career discussions are happening regualrly? Do they have an individual development plan? What opportunities exist to accelerate development and growth? Revisit talent often to plan for next steps. </v>
      </c>
      <c r="S22" s="37"/>
      <c r="T22" s="38" t="s">
        <v>92</v>
      </c>
      <c r="U22" s="2" t="s">
        <v>175</v>
      </c>
      <c r="V22" s="2" t="s">
        <v>148</v>
      </c>
      <c r="W22" s="2" t="s">
        <v>175</v>
      </c>
      <c r="X22" s="2"/>
    </row>
    <row r="23" spans="1:24" ht="56.15" customHeight="1">
      <c r="A23" s="22">
        <v>101003</v>
      </c>
      <c r="B23" s="22" t="s">
        <v>176</v>
      </c>
      <c r="C23" s="22" t="s">
        <v>177</v>
      </c>
      <c r="D23" s="22" t="s">
        <v>177</v>
      </c>
      <c r="E23" s="22" t="s">
        <v>177</v>
      </c>
      <c r="F23" s="22" t="s">
        <v>76</v>
      </c>
      <c r="G23" s="23">
        <v>43808</v>
      </c>
      <c r="H23" s="22" t="s">
        <v>164</v>
      </c>
      <c r="I23" s="22" t="s">
        <v>159</v>
      </c>
      <c r="J23" s="22" t="s">
        <v>89</v>
      </c>
      <c r="K23" s="22" t="s">
        <v>89</v>
      </c>
      <c r="L23" s="22" t="s">
        <v>69</v>
      </c>
      <c r="M23" s="22" t="s">
        <v>90</v>
      </c>
      <c r="N23" s="30" cm="1">
        <f t="array" ref="N23">IF(OR(L23="",M23=""),"", IF(OR(ISNA(MATCH(L23,{"Low","Medium","High"},0)), ISNA(MATCH(M23,{"Low","Medium","High"},0))),"",_xlfn.SWITCH(L23,"Low",1,"Medium",2,"High",3) + 3 * _xlfn.SWITCH(M23,"Low",1,"Medium",2,"High",3) - 3))</f>
        <v>6</v>
      </c>
      <c r="O23" s="37" t="s">
        <v>25</v>
      </c>
      <c r="P23" s="22" t="str">
        <f>IFERROR(VLOOKUP(O23,'Excel Table (Do Not Format)'!A:D,2,FALSE),"")</f>
        <v>Core Talent [M,M]</v>
      </c>
      <c r="Q23" s="22" t="str">
        <f>IFERROR(VLOOKUP(O23,'Excel Table (Do Not Format)'!A:D,3,FALSE),"")</f>
        <v>identify performance barriers, explore portential to expand responsibilties in current role and discuss career aspirations (ideally for talent new in role)</v>
      </c>
      <c r="R23" s="22" t="str">
        <f>IFERROR(VLOOKUP(O23,'Excel Table (Do Not Format)'!A:D,4,FALSE),"")</f>
        <v xml:space="preserve">Develop in Role - Identify developmental activities to continue to grow their skill and set them up for success for anticiapted progression </v>
      </c>
      <c r="S23" s="37"/>
      <c r="T23" s="38"/>
      <c r="U23" s="2" t="s">
        <v>126</v>
      </c>
      <c r="V23" s="2" t="s">
        <v>82</v>
      </c>
      <c r="W23" s="2" t="s">
        <v>126</v>
      </c>
      <c r="X23" s="2"/>
    </row>
    <row r="24" spans="1:24" ht="56.15" customHeight="1">
      <c r="A24" s="22">
        <v>1885</v>
      </c>
      <c r="B24" s="22" t="s">
        <v>178</v>
      </c>
      <c r="C24" s="22" t="s">
        <v>179</v>
      </c>
      <c r="D24" s="22" t="s">
        <v>180</v>
      </c>
      <c r="E24" s="22" t="s">
        <v>180</v>
      </c>
      <c r="F24" s="22" t="s">
        <v>65</v>
      </c>
      <c r="G24" s="23">
        <v>42765</v>
      </c>
      <c r="H24" s="22" t="s">
        <v>164</v>
      </c>
      <c r="I24" s="22" t="s">
        <v>181</v>
      </c>
      <c r="J24" s="22" t="s">
        <v>89</v>
      </c>
      <c r="K24" s="22" t="s">
        <v>68</v>
      </c>
      <c r="L24" s="22" t="s">
        <v>69</v>
      </c>
      <c r="M24" s="22" t="s">
        <v>90</v>
      </c>
      <c r="N24" s="30" cm="1">
        <f t="array" ref="N24">IF(OR(L24="",M24=""),"", IF(OR(ISNA(MATCH(L24,{"Low","Medium","High"},0)), ISNA(MATCH(M24,{"Low","Medium","High"},0))),"",_xlfn.SWITCH(L24,"Low",1,"Medium",2,"High",3) + 3 * _xlfn.SWITCH(M24,"Low",1,"Medium",2,"High",3) - 3))</f>
        <v>6</v>
      </c>
      <c r="O24" s="37" t="s">
        <v>36</v>
      </c>
      <c r="P24" s="22" t="str">
        <f>IFERROR(VLOOKUP(O24,'Excel Table (Do Not Format)'!A:D,2,FALSE),"")</f>
        <v>Growth Talent [M,H]</v>
      </c>
      <c r="Q24" s="22" t="str">
        <f>IFERROR(VLOOKUP(O24,'Excel Table (Do Not Format)'!A:D,3,FALSE),"")</f>
        <v xml:space="preserve">identify performance barriers, explore portential to expand responsibilties in current role </v>
      </c>
      <c r="R24" s="22" t="str">
        <f>IFERROR(VLOOKUP(O24,'Excel Table (Do Not Format)'!A:D,4,FALSE),"")</f>
        <v xml:space="preserve">Differentially Invest - Ensure career discussions are happening regualrly? Do they have an individual development plan? What opportunities exist to accelerate development and growth? Revisit talent often to plan for next steps. </v>
      </c>
      <c r="S24" s="37" t="s">
        <v>182</v>
      </c>
      <c r="T24" s="38" t="s">
        <v>80</v>
      </c>
      <c r="U24" s="2" t="s">
        <v>81</v>
      </c>
      <c r="V24" s="2" t="s">
        <v>82</v>
      </c>
      <c r="W24" s="2" t="s">
        <v>81</v>
      </c>
      <c r="X24" s="2"/>
    </row>
    <row r="25" spans="1:24" ht="56.15" customHeight="1">
      <c r="A25" s="22">
        <v>105566</v>
      </c>
      <c r="B25" s="22" t="s">
        <v>183</v>
      </c>
      <c r="C25" s="22" t="s">
        <v>184</v>
      </c>
      <c r="D25" s="22" t="s">
        <v>185</v>
      </c>
      <c r="E25" s="22" t="s">
        <v>185</v>
      </c>
      <c r="F25" s="22" t="s">
        <v>86</v>
      </c>
      <c r="G25" s="23">
        <v>45537</v>
      </c>
      <c r="H25" s="22" t="s">
        <v>186</v>
      </c>
      <c r="I25" s="22" t="s">
        <v>187</v>
      </c>
      <c r="J25" s="22"/>
      <c r="K25" s="22" t="s">
        <v>88</v>
      </c>
      <c r="L25" s="22" t="s">
        <v>90</v>
      </c>
      <c r="M25" s="22" t="s">
        <v>69</v>
      </c>
      <c r="N25" s="30" cm="1">
        <f t="array" ref="N25">IF(OR(L25="",M25=""),"", IF(OR(ISNA(MATCH(L25,{"Low","Medium","High"},0)), ISNA(MATCH(M25,{"Low","Medium","High"},0))),"",_xlfn.SWITCH(L25,"Low",1,"Medium",2,"High",3) + 3 * _xlfn.SWITCH(M25,"Low",1,"Medium",2,"High",3) - 3))</f>
        <v>8</v>
      </c>
      <c r="O25" s="37" t="s">
        <v>36</v>
      </c>
      <c r="P25" s="22" t="str">
        <f>IFERROR(VLOOKUP(O25,'Excel Table (Do Not Format)'!A:D,2,FALSE),"")</f>
        <v>Growth Talent [M,H]</v>
      </c>
      <c r="Q25" s="22" t="str">
        <f>IFERROR(VLOOKUP(O25,'Excel Table (Do Not Format)'!A:D,3,FALSE),"")</f>
        <v xml:space="preserve">identify performance barriers, explore portential to expand responsibilties in current role </v>
      </c>
      <c r="R25" s="22" t="str">
        <f>IFERROR(VLOOKUP(O25,'Excel Table (Do Not Format)'!A:D,4,FALSE),"")</f>
        <v xml:space="preserve">Differentially Invest - Ensure career discussions are happening regualrly? Do they have an individual development plan? What opportunities exist to accelerate development and growth? Revisit talent often to plan for next steps. </v>
      </c>
      <c r="S25" s="37"/>
      <c r="T25" s="38"/>
      <c r="U25" s="2" t="s">
        <v>140</v>
      </c>
      <c r="V25" s="2" t="s">
        <v>82</v>
      </c>
      <c r="W25" s="2" t="s">
        <v>109</v>
      </c>
      <c r="X25" s="2" t="s">
        <v>140</v>
      </c>
    </row>
    <row r="26" spans="1:24" ht="108" customHeight="1">
      <c r="A26" s="22">
        <v>2011</v>
      </c>
      <c r="B26" s="22" t="s">
        <v>188</v>
      </c>
      <c r="C26" s="22" t="s">
        <v>189</v>
      </c>
      <c r="D26" s="22" t="s">
        <v>190</v>
      </c>
      <c r="E26" s="22" t="s">
        <v>190</v>
      </c>
      <c r="F26" s="22" t="s">
        <v>76</v>
      </c>
      <c r="G26" s="23">
        <v>43136</v>
      </c>
      <c r="H26" s="22" t="s">
        <v>164</v>
      </c>
      <c r="I26" s="22" t="s">
        <v>159</v>
      </c>
      <c r="J26" s="22" t="s">
        <v>89</v>
      </c>
      <c r="K26" s="22" t="s">
        <v>88</v>
      </c>
      <c r="L26" s="22" t="s">
        <v>69</v>
      </c>
      <c r="M26" s="22" t="s">
        <v>103</v>
      </c>
      <c r="N26" s="30" cm="1">
        <f t="array" ref="N26">IF(OR(L26="",M26=""),"", IF(OR(ISNA(MATCH(L26,{"Low","Medium","High"},0)), ISNA(MATCH(M26,{"Low","Medium","High"},0))),"",_xlfn.SWITCH(L26,"Low",1,"Medium",2,"High",3) + 3 * _xlfn.SWITCH(M26,"Low",1,"Medium",2,"High",3) - 3))</f>
        <v>3</v>
      </c>
      <c r="O26" s="37" t="s">
        <v>18</v>
      </c>
      <c r="P26" s="22" t="str">
        <f>IFERROR(VLOOKUP(O26,'Excel Table (Do Not Format)'!A:D,2,FALSE),"")</f>
        <v>Expert Talent [H,L]</v>
      </c>
      <c r="Q26" s="22" t="str">
        <f>IFERROR(VLOOKUP(O26,'Excel Table (Do Not Format)'!A:D,3,FALSE),"")</f>
        <v xml:space="preserve">leverage experience to mentor and growth others </v>
      </c>
      <c r="R26" s="22" t="str">
        <f>IFERROR(VLOOKUP(O26,'Excel Table (Do Not Format)'!A:D,4,FALSE),"")</f>
        <v xml:space="preserve">Develop in Role - Identify developmental activities to continue to grow their skill and set them up for success for anticiapted progression </v>
      </c>
      <c r="S26" s="37" t="s">
        <v>191</v>
      </c>
      <c r="T26" s="38"/>
      <c r="U26" s="2" t="s">
        <v>192</v>
      </c>
      <c r="V26" s="2" t="s">
        <v>192</v>
      </c>
      <c r="W26" s="2"/>
      <c r="X26" s="2"/>
    </row>
    <row r="27" spans="1:24" ht="56.15" customHeight="1">
      <c r="A27" s="22">
        <v>102702</v>
      </c>
      <c r="B27" s="22" t="s">
        <v>193</v>
      </c>
      <c r="C27" s="22" t="s">
        <v>94</v>
      </c>
      <c r="D27" s="22" t="s">
        <v>95</v>
      </c>
      <c r="E27" s="22" t="s">
        <v>95</v>
      </c>
      <c r="F27" s="22" t="s">
        <v>86</v>
      </c>
      <c r="G27" s="23">
        <v>44476</v>
      </c>
      <c r="H27" s="22" t="s">
        <v>164</v>
      </c>
      <c r="I27" s="22" t="s">
        <v>194</v>
      </c>
      <c r="J27" s="22" t="s">
        <v>88</v>
      </c>
      <c r="K27" s="22"/>
      <c r="L27" s="22" t="s">
        <v>69</v>
      </c>
      <c r="M27" s="22" t="s">
        <v>69</v>
      </c>
      <c r="N27" s="30" cm="1">
        <f t="array" ref="N27">IF(OR(L27="",M27=""),"", IF(OR(ISNA(MATCH(L27,{"Low","Medium","High"},0)), ISNA(MATCH(M27,{"Low","Medium","High"},0))),"",_xlfn.SWITCH(L27,"Low",1,"Medium",2,"High",3) + 3 * _xlfn.SWITCH(M27,"Low",1,"Medium",2,"High",3) - 3))</f>
        <v>9</v>
      </c>
      <c r="O27" s="37" t="s">
        <v>39</v>
      </c>
      <c r="P27" s="22" t="str">
        <f>IFERROR(VLOOKUP(O27,'Excel Table (Do Not Format)'!A:D,2,FALSE),"")</f>
        <v>Top Talent [H,H]</v>
      </c>
      <c r="Q27" s="22" t="str">
        <f>IFERROR(VLOOKUP(O27,'Excel Table (Do Not Format)'!A:D,3,FALSE),"")</f>
        <v xml:space="preserve">identify stretch experiences or temporary assignments, increase executive exposure </v>
      </c>
      <c r="R27" s="22" t="str">
        <f>IFERROR(VLOOKUP(O27,'Excel Table (Do Not Format)'!A:D,4,FALSE),"")</f>
        <v xml:space="preserve">Differentially Invest - Ensure career discussions are happening regualrly? Do they have an individual development plan? What opportunities exist to accelerate development and growth? Revisit talent often to plan for next steps. </v>
      </c>
      <c r="S27" s="37"/>
      <c r="T27" s="38"/>
      <c r="U27" s="2" t="s">
        <v>98</v>
      </c>
      <c r="V27" s="2" t="s">
        <v>82</v>
      </c>
      <c r="W27" s="2" t="s">
        <v>98</v>
      </c>
      <c r="X27" s="2"/>
    </row>
    <row r="28" spans="1:24" ht="52">
      <c r="A28" s="31">
        <v>102844</v>
      </c>
      <c r="B28" s="22" t="s">
        <v>195</v>
      </c>
      <c r="C28" s="32" t="s">
        <v>196</v>
      </c>
      <c r="D28" s="32" t="s">
        <v>196</v>
      </c>
      <c r="E28" s="32" t="s">
        <v>196</v>
      </c>
      <c r="F28" s="32" t="s">
        <v>76</v>
      </c>
      <c r="G28" s="33">
        <v>44508</v>
      </c>
      <c r="H28" s="32" t="s">
        <v>66</v>
      </c>
      <c r="I28" s="32" t="s">
        <v>159</v>
      </c>
      <c r="J28" s="22" t="s">
        <v>68</v>
      </c>
      <c r="K28" s="22" t="s">
        <v>89</v>
      </c>
      <c r="L28" s="22" t="s">
        <v>69</v>
      </c>
      <c r="M28" s="22" t="s">
        <v>90</v>
      </c>
      <c r="N28" s="30" cm="1">
        <f t="array" ref="N28">IF(OR(L28="",M28=""),"", IF(OR(ISNA(MATCH(L28,{"Low","Medium","High"},0)), ISNA(MATCH(M28,{"Low","Medium","High"},0))),"",_xlfn.SWITCH(L28,"Low",1,"Medium",2,"High",3) + 3 * _xlfn.SWITCH(M28,"Low",1,"Medium",2,"High",3) - 3))</f>
        <v>6</v>
      </c>
      <c r="O28" s="37" t="s">
        <v>28</v>
      </c>
      <c r="P28" s="22" t="str">
        <f>IFERROR(VLOOKUP(O28,'Excel Table (Do Not Format)'!A:D,2,FALSE),"")</f>
        <v>High Impact Talent [H,M]</v>
      </c>
      <c r="Q28" s="22" t="str">
        <f>IFERROR(VLOOKUP(O28,'Excel Table (Do Not Format)'!A:D,3,FALSE),"")</f>
        <v>expand responsibilities in current role, identify key experiences and increase executive exposure</v>
      </c>
      <c r="R28" s="22" t="str">
        <f>IFERROR(VLOOKUP(O28,'Excel Table (Do Not Format)'!A:D,4,FALSE),"")</f>
        <v xml:space="preserve">Differentially Invest - Ensure career discussions are happening regualrly? Do they have an individual development plan? What opportunities exist to accelerate development and growth? Revisit talent often to plan for next steps. </v>
      </c>
      <c r="S28" s="39"/>
      <c r="T28" s="38" t="s">
        <v>80</v>
      </c>
      <c r="U28" s="2" t="s">
        <v>82</v>
      </c>
      <c r="V28" s="2" t="s">
        <v>82</v>
      </c>
      <c r="W28" s="2"/>
      <c r="X28" s="2"/>
    </row>
    <row r="29" spans="1:24" ht="52">
      <c r="A29" s="31">
        <v>106330</v>
      </c>
      <c r="B29" s="22" t="s">
        <v>197</v>
      </c>
      <c r="C29" s="32" t="s">
        <v>198</v>
      </c>
      <c r="D29" s="32" t="s">
        <v>199</v>
      </c>
      <c r="E29" s="32" t="s">
        <v>199</v>
      </c>
      <c r="F29" s="32" t="s">
        <v>117</v>
      </c>
      <c r="G29" s="33">
        <v>45922</v>
      </c>
      <c r="H29" s="32" t="s">
        <v>77</v>
      </c>
      <c r="I29" s="32" t="s">
        <v>144</v>
      </c>
      <c r="J29" s="22"/>
      <c r="K29" s="22"/>
      <c r="L29" s="22"/>
      <c r="M29" s="22"/>
      <c r="N29" s="22"/>
      <c r="O29" s="37" t="s">
        <v>25</v>
      </c>
      <c r="P29" s="22" t="str">
        <f>IFERROR(VLOOKUP(O29,'Excel Table (Do Not Format)'!A:D,2,FALSE),"")</f>
        <v>Core Talent [M,M]</v>
      </c>
      <c r="Q29" s="22" t="str">
        <f>IFERROR(VLOOKUP(O29,'Excel Table (Do Not Format)'!A:D,3,FALSE),"")</f>
        <v>identify performance barriers, explore portential to expand responsibilties in current role and discuss career aspirations (ideally for talent new in role)</v>
      </c>
      <c r="R29" s="22" t="str">
        <f>IFERROR(VLOOKUP(O29,'Excel Table (Do Not Format)'!A:D,4,FALSE),"")</f>
        <v xml:space="preserve">Develop in Role - Identify developmental activities to continue to grow their skill and set them up for success for anticiapted progression </v>
      </c>
      <c r="S29" s="39" t="s">
        <v>200</v>
      </c>
      <c r="T29" s="38" t="s">
        <v>80</v>
      </c>
      <c r="U29" s="2" t="s">
        <v>192</v>
      </c>
      <c r="V29" s="2" t="s">
        <v>192</v>
      </c>
      <c r="W29" s="2"/>
      <c r="X29" s="2"/>
    </row>
    <row r="30" spans="1:24" ht="52">
      <c r="A30" s="31">
        <v>100735</v>
      </c>
      <c r="B30" s="22" t="s">
        <v>201</v>
      </c>
      <c r="C30" s="32" t="s">
        <v>202</v>
      </c>
      <c r="D30" s="32" t="s">
        <v>116</v>
      </c>
      <c r="E30" s="32" t="s">
        <v>116</v>
      </c>
      <c r="F30" s="32" t="s">
        <v>117</v>
      </c>
      <c r="G30" s="33">
        <v>43689</v>
      </c>
      <c r="H30" s="32" t="s">
        <v>164</v>
      </c>
      <c r="I30" s="32" t="s">
        <v>203</v>
      </c>
      <c r="J30" s="22" t="s">
        <v>88</v>
      </c>
      <c r="K30" s="22" t="s">
        <v>88</v>
      </c>
      <c r="L30" s="22" t="s">
        <v>90</v>
      </c>
      <c r="M30" s="22" t="s">
        <v>90</v>
      </c>
      <c r="N30" s="30" cm="1">
        <f t="array" ref="N30">IF(OR(L30="",M30=""),"", IF(OR(ISNA(MATCH(L30,{"Low","Medium","High"},0)), ISNA(MATCH(M30,{"Low","Medium","High"},0))),"",_xlfn.SWITCH(L30,"Low",1,"Medium",2,"High",3) + 3 * _xlfn.SWITCH(M30,"Low",1,"Medium",2,"High",3) - 3))</f>
        <v>5</v>
      </c>
      <c r="O30" s="37" t="s">
        <v>25</v>
      </c>
      <c r="P30" s="22" t="str">
        <f>IFERROR(VLOOKUP(O30,'Excel Table (Do Not Format)'!A:D,2,FALSE),"")</f>
        <v>Core Talent [M,M]</v>
      </c>
      <c r="Q30" s="22" t="str">
        <f>IFERROR(VLOOKUP(O30,'Excel Table (Do Not Format)'!A:D,3,FALSE),"")</f>
        <v>identify performance barriers, explore portential to expand responsibilties in current role and discuss career aspirations (ideally for talent new in role)</v>
      </c>
      <c r="R30" s="22" t="str">
        <f>IFERROR(VLOOKUP(O30,'Excel Table (Do Not Format)'!A:D,4,FALSE),"")</f>
        <v xml:space="preserve">Develop in Role - Identify developmental activities to continue to grow their skill and set them up for success for anticiapted progression </v>
      </c>
      <c r="S30" s="39"/>
      <c r="T30" s="38" t="s">
        <v>80</v>
      </c>
      <c r="U30" s="2" t="s">
        <v>204</v>
      </c>
      <c r="V30" s="2" t="s">
        <v>72</v>
      </c>
      <c r="W30" s="2" t="s">
        <v>204</v>
      </c>
      <c r="X30" s="2"/>
    </row>
    <row r="31" spans="1:24" ht="52">
      <c r="A31" s="31">
        <v>102824</v>
      </c>
      <c r="B31" s="22" t="s">
        <v>205</v>
      </c>
      <c r="C31" s="32" t="s">
        <v>206</v>
      </c>
      <c r="D31" s="32" t="s">
        <v>206</v>
      </c>
      <c r="E31" s="32" t="s">
        <v>206</v>
      </c>
      <c r="F31" s="32" t="s">
        <v>86</v>
      </c>
      <c r="G31" s="33">
        <v>44508</v>
      </c>
      <c r="H31" s="32" t="s">
        <v>66</v>
      </c>
      <c r="I31" s="32" t="s">
        <v>207</v>
      </c>
      <c r="J31" s="22" t="s">
        <v>89</v>
      </c>
      <c r="K31" s="22" t="s">
        <v>68</v>
      </c>
      <c r="L31" s="22" t="s">
        <v>90</v>
      </c>
      <c r="M31" s="22" t="s">
        <v>90</v>
      </c>
      <c r="N31" s="30" cm="1">
        <f t="array" ref="N31">IF(OR(L31="",M31=""),"", IF(OR(ISNA(MATCH(L31,{"Low","Medium","High"},0)), ISNA(MATCH(M31,{"Low","Medium","High"},0))),"",_xlfn.SWITCH(L31,"Low",1,"Medium",2,"High",3) + 3 * _xlfn.SWITCH(M31,"Low",1,"Medium",2,"High",3) - 3))</f>
        <v>5</v>
      </c>
      <c r="O31" s="37" t="s">
        <v>25</v>
      </c>
      <c r="P31" s="22" t="str">
        <f>IFERROR(VLOOKUP(O31,'Excel Table (Do Not Format)'!A:D,2,FALSE),"")</f>
        <v>Core Talent [M,M]</v>
      </c>
      <c r="Q31" s="22" t="str">
        <f>IFERROR(VLOOKUP(O31,'Excel Table (Do Not Format)'!A:D,3,FALSE),"")</f>
        <v>identify performance barriers, explore portential to expand responsibilties in current role and discuss career aspirations (ideally for talent new in role)</v>
      </c>
      <c r="R31" s="22" t="str">
        <f>IFERROR(VLOOKUP(O31,'Excel Table (Do Not Format)'!A:D,4,FALSE),"")</f>
        <v xml:space="preserve">Develop in Role - Identify developmental activities to continue to grow their skill and set them up for success for anticiapted progression </v>
      </c>
      <c r="S31" s="39"/>
      <c r="T31" s="38"/>
      <c r="U31" s="2" t="s">
        <v>126</v>
      </c>
      <c r="V31" s="2" t="s">
        <v>82</v>
      </c>
      <c r="W31" s="2" t="s">
        <v>126</v>
      </c>
      <c r="X31" s="2"/>
    </row>
    <row r="32" spans="1:24" ht="52">
      <c r="A32" s="31">
        <v>106012</v>
      </c>
      <c r="B32" s="22" t="s">
        <v>208</v>
      </c>
      <c r="C32" s="32" t="s">
        <v>209</v>
      </c>
      <c r="D32" s="32" t="s">
        <v>210</v>
      </c>
      <c r="E32" s="32" t="s">
        <v>210</v>
      </c>
      <c r="F32" s="32" t="s">
        <v>117</v>
      </c>
      <c r="G32" s="33">
        <v>45706</v>
      </c>
      <c r="H32" s="32" t="s">
        <v>124</v>
      </c>
      <c r="I32" s="32" t="s">
        <v>211</v>
      </c>
      <c r="J32" s="22"/>
      <c r="K32" s="22"/>
      <c r="L32" s="22" t="s">
        <v>90</v>
      </c>
      <c r="M32" s="22" t="s">
        <v>90</v>
      </c>
      <c r="N32" s="30" cm="1">
        <f t="array" ref="N32">IF(OR(L32="",M32=""),"", IF(OR(ISNA(MATCH(L32,{"Low","Medium","High"},0)), ISNA(MATCH(M32,{"Low","Medium","High"},0))),"",_xlfn.SWITCH(L32,"Low",1,"Medium",2,"High",3) + 3 * _xlfn.SWITCH(M32,"Low",1,"Medium",2,"High",3) - 3))</f>
        <v>5</v>
      </c>
      <c r="O32" s="37" t="s">
        <v>36</v>
      </c>
      <c r="P32" s="22" t="str">
        <f>IFERROR(VLOOKUP(O32,'Excel Table (Do Not Format)'!A:D,2,FALSE),"")</f>
        <v>Growth Talent [M,H]</v>
      </c>
      <c r="Q32" s="22" t="str">
        <f>IFERROR(VLOOKUP(O32,'Excel Table (Do Not Format)'!A:D,3,FALSE),"")</f>
        <v xml:space="preserve">identify performance barriers, explore portential to expand responsibilties in current role </v>
      </c>
      <c r="R32" s="22" t="str">
        <f>IFERROR(VLOOKUP(O32,'Excel Table (Do Not Format)'!A:D,4,FALSE),"")</f>
        <v xml:space="preserve">Differentially Invest - Ensure career discussions are happening regualrly? Do they have an individual development plan? What opportunities exist to accelerate development and growth? Revisit talent often to plan for next steps. </v>
      </c>
      <c r="S32" s="39"/>
      <c r="T32" s="38" t="s">
        <v>80</v>
      </c>
      <c r="U32" s="2" t="s">
        <v>108</v>
      </c>
      <c r="V32" s="2" t="s">
        <v>82</v>
      </c>
      <c r="W32" s="2" t="s">
        <v>109</v>
      </c>
      <c r="X32" s="2" t="s">
        <v>108</v>
      </c>
    </row>
    <row r="33" spans="1:24" ht="65">
      <c r="A33" s="31">
        <v>101443</v>
      </c>
      <c r="B33" s="22" t="s">
        <v>212</v>
      </c>
      <c r="C33" s="32" t="s">
        <v>154</v>
      </c>
      <c r="D33" s="32" t="s">
        <v>173</v>
      </c>
      <c r="E33" s="32" t="s">
        <v>173</v>
      </c>
      <c r="F33" s="32" t="s">
        <v>76</v>
      </c>
      <c r="G33" s="33">
        <v>44067</v>
      </c>
      <c r="H33" s="32" t="s">
        <v>164</v>
      </c>
      <c r="I33" s="32" t="s">
        <v>213</v>
      </c>
      <c r="J33" s="22" t="s">
        <v>88</v>
      </c>
      <c r="K33" s="22" t="s">
        <v>89</v>
      </c>
      <c r="L33" s="22" t="s">
        <v>90</v>
      </c>
      <c r="M33" s="22" t="s">
        <v>90</v>
      </c>
      <c r="N33" s="30" cm="1">
        <f t="array" ref="N33">IF(OR(L33="",M33=""),"", IF(OR(ISNA(MATCH(L33,{"Low","Medium","High"},0)), ISNA(MATCH(M33,{"Low","Medium","High"},0))),"",_xlfn.SWITCH(L33,"Low",1,"Medium",2,"High",3) + 3 * _xlfn.SWITCH(M33,"Low",1,"Medium",2,"High",3) - 3))</f>
        <v>5</v>
      </c>
      <c r="O33" s="37" t="s">
        <v>25</v>
      </c>
      <c r="P33" s="22" t="str">
        <f>IFERROR(VLOOKUP(O33,'Excel Table (Do Not Format)'!A:D,2,FALSE),"")</f>
        <v>Core Talent [M,M]</v>
      </c>
      <c r="Q33" s="22" t="str">
        <f>IFERROR(VLOOKUP(O33,'Excel Table (Do Not Format)'!A:D,3,FALSE),"")</f>
        <v>identify performance barriers, explore portential to expand responsibilties in current role and discuss career aspirations (ideally for talent new in role)</v>
      </c>
      <c r="R33" s="22" t="str">
        <f>IFERROR(VLOOKUP(O33,'Excel Table (Do Not Format)'!A:D,4,FALSE),"")</f>
        <v xml:space="preserve">Develop in Role - Identify developmental activities to continue to grow their skill and set them up for success for anticiapted progression </v>
      </c>
      <c r="S33" s="39"/>
      <c r="T33" s="38" t="s">
        <v>80</v>
      </c>
      <c r="U33" s="2" t="s">
        <v>134</v>
      </c>
      <c r="V33" s="2" t="s">
        <v>72</v>
      </c>
      <c r="W33" s="2" t="s">
        <v>134</v>
      </c>
      <c r="X33" s="2"/>
    </row>
    <row r="34" spans="1:24" ht="65">
      <c r="A34" s="31">
        <v>105985</v>
      </c>
      <c r="B34" s="22" t="s">
        <v>214</v>
      </c>
      <c r="C34" s="32" t="s">
        <v>215</v>
      </c>
      <c r="D34" s="32" t="s">
        <v>216</v>
      </c>
      <c r="E34" s="32" t="s">
        <v>216</v>
      </c>
      <c r="F34" s="32" t="s">
        <v>117</v>
      </c>
      <c r="G34" s="33">
        <v>45707</v>
      </c>
      <c r="H34" s="32" t="s">
        <v>124</v>
      </c>
      <c r="I34" s="32" t="s">
        <v>217</v>
      </c>
      <c r="J34" s="22"/>
      <c r="K34" s="22"/>
      <c r="L34" s="22" t="s">
        <v>69</v>
      </c>
      <c r="M34" s="22" t="s">
        <v>69</v>
      </c>
      <c r="N34" s="30" cm="1">
        <f t="array" ref="N34">IF(OR(L34="",M34=""),"", IF(OR(ISNA(MATCH(L34,{"Low","Medium","High"},0)), ISNA(MATCH(M34,{"Low","Medium","High"},0))),"",_xlfn.SWITCH(L34,"Low",1,"Medium",2,"High",3) + 3 * _xlfn.SWITCH(M34,"Low",1,"Medium",2,"High",3) - 3))</f>
        <v>9</v>
      </c>
      <c r="O34" s="37" t="s">
        <v>39</v>
      </c>
      <c r="P34" s="22" t="str">
        <f>IFERROR(VLOOKUP(O34,'Excel Table (Do Not Format)'!A:D,2,FALSE),"")</f>
        <v>Top Talent [H,H]</v>
      </c>
      <c r="Q34" s="22" t="str">
        <f>IFERROR(VLOOKUP(O34,'Excel Table (Do Not Format)'!A:D,3,FALSE),"")</f>
        <v xml:space="preserve">identify stretch experiences or temporary assignments, increase executive exposure </v>
      </c>
      <c r="R34" s="22" t="str">
        <f>IFERROR(VLOOKUP(O34,'Excel Table (Do Not Format)'!A:D,4,FALSE),"")</f>
        <v xml:space="preserve">Differentially Invest - Ensure career discussions are happening regualrly? Do they have an individual development plan? What opportunities exist to accelerate development and growth? Revisit talent often to plan for next steps. </v>
      </c>
      <c r="S34" s="39"/>
      <c r="T34" s="38"/>
      <c r="U34" s="2" t="s">
        <v>140</v>
      </c>
      <c r="V34" s="2" t="s">
        <v>82</v>
      </c>
      <c r="W34" s="2" t="s">
        <v>109</v>
      </c>
      <c r="X34" s="2" t="s">
        <v>140</v>
      </c>
    </row>
    <row r="35" spans="1:24" ht="50">
      <c r="A35" s="31">
        <v>105835</v>
      </c>
      <c r="B35" s="22" t="s">
        <v>218</v>
      </c>
      <c r="C35" s="32" t="s">
        <v>122</v>
      </c>
      <c r="D35" s="32" t="s">
        <v>123</v>
      </c>
      <c r="E35" s="32" t="s">
        <v>123</v>
      </c>
      <c r="F35" s="32" t="s">
        <v>117</v>
      </c>
      <c r="G35" s="33">
        <v>45677</v>
      </c>
      <c r="H35" s="32" t="s">
        <v>124</v>
      </c>
      <c r="I35" s="32" t="s">
        <v>219</v>
      </c>
      <c r="J35" s="22"/>
      <c r="K35" s="22"/>
      <c r="L35" s="22" t="s">
        <v>90</v>
      </c>
      <c r="M35" s="22" t="s">
        <v>90</v>
      </c>
      <c r="N35" s="30" cm="1">
        <f t="array" ref="N35">IF(OR(L35="",M35=""),"", IF(OR(ISNA(MATCH(L35,{"Low","Medium","High"},0)), ISNA(MATCH(M35,{"Low","Medium","High"},0))),"",_xlfn.SWITCH(L35,"Low",1,"Medium",2,"High",3) + 3 * _xlfn.SWITCH(M35,"Low",1,"Medium",2,"High",3) - 3))</f>
        <v>5</v>
      </c>
      <c r="O35" s="37" t="s">
        <v>25</v>
      </c>
      <c r="P35" s="22" t="str">
        <f>IFERROR(VLOOKUP(O35,'Excel Table (Do Not Format)'!A:D,2,FALSE),"")</f>
        <v>Core Talent [M,M]</v>
      </c>
      <c r="Q35" s="22" t="str">
        <f>IFERROR(VLOOKUP(O35,'Excel Table (Do Not Format)'!A:D,3,FALSE),"")</f>
        <v>identify performance barriers, explore portential to expand responsibilties in current role and discuss career aspirations (ideally for talent new in role)</v>
      </c>
      <c r="R35" s="22" t="str">
        <f>IFERROR(VLOOKUP(O35,'Excel Table (Do Not Format)'!A:D,4,FALSE),"")</f>
        <v xml:space="preserve">Develop in Role - Identify developmental activities to continue to grow their skill and set them up for success for anticiapted progression </v>
      </c>
      <c r="S35" s="39"/>
      <c r="T35" s="38"/>
      <c r="U35" s="2" t="s">
        <v>126</v>
      </c>
      <c r="V35" s="2" t="s">
        <v>82</v>
      </c>
      <c r="W35" s="2" t="s">
        <v>126</v>
      </c>
      <c r="X35" s="2"/>
    </row>
    <row r="36" spans="1:24" ht="78">
      <c r="A36" s="31">
        <v>100583</v>
      </c>
      <c r="B36" s="22" t="s">
        <v>220</v>
      </c>
      <c r="C36" s="32" t="s">
        <v>221</v>
      </c>
      <c r="D36" s="32" t="s">
        <v>222</v>
      </c>
      <c r="E36" s="32" t="s">
        <v>222</v>
      </c>
      <c r="F36" s="32" t="s">
        <v>86</v>
      </c>
      <c r="G36" s="33">
        <v>43598</v>
      </c>
      <c r="H36" s="32" t="s">
        <v>164</v>
      </c>
      <c r="I36" s="32" t="s">
        <v>223</v>
      </c>
      <c r="J36" s="22" t="s">
        <v>88</v>
      </c>
      <c r="K36" s="22" t="s">
        <v>89</v>
      </c>
      <c r="L36" s="22" t="s">
        <v>69</v>
      </c>
      <c r="M36" s="22" t="s">
        <v>69</v>
      </c>
      <c r="N36" s="30" cm="1">
        <f t="array" ref="N36">IF(OR(L36="",M36=""),"", IF(OR(ISNA(MATCH(L36,{"Low","Medium","High"},0)), ISNA(MATCH(M36,{"Low","Medium","High"},0))),"",_xlfn.SWITCH(L36,"Low",1,"Medium",2,"High",3) + 3 * _xlfn.SWITCH(M36,"Low",1,"Medium",2,"High",3) - 3))</f>
        <v>9</v>
      </c>
      <c r="O36" s="37" t="s">
        <v>39</v>
      </c>
      <c r="P36" s="22" t="str">
        <f>IFERROR(VLOOKUP(O36,'Excel Table (Do Not Format)'!A:D,2,FALSE),"")</f>
        <v>Top Talent [H,H]</v>
      </c>
      <c r="Q36" s="22" t="str">
        <f>IFERROR(VLOOKUP(O36,'Excel Table (Do Not Format)'!A:D,3,FALSE),"")</f>
        <v xml:space="preserve">identify stretch experiences or temporary assignments, increase executive exposure </v>
      </c>
      <c r="R36" s="22" t="str">
        <f>IFERROR(VLOOKUP(O36,'Excel Table (Do Not Format)'!A:D,4,FALSE),"")</f>
        <v xml:space="preserve">Differentially Invest - Ensure career discussions are happening regualrly? Do they have an individual development plan? What opportunities exist to accelerate development and growth? Revisit talent often to plan for next steps. </v>
      </c>
      <c r="S36" s="39" t="s">
        <v>224</v>
      </c>
      <c r="T36" s="38" t="s">
        <v>80</v>
      </c>
      <c r="U36" s="2" t="s">
        <v>225</v>
      </c>
      <c r="V36" s="2" t="s">
        <v>82</v>
      </c>
      <c r="W36" s="2" t="s">
        <v>109</v>
      </c>
      <c r="X36" s="2" t="s">
        <v>225</v>
      </c>
    </row>
    <row r="37" spans="1:24" ht="50">
      <c r="A37" s="31">
        <v>105280</v>
      </c>
      <c r="B37" s="22" t="s">
        <v>226</v>
      </c>
      <c r="C37" s="32" t="s">
        <v>227</v>
      </c>
      <c r="D37" s="32" t="s">
        <v>228</v>
      </c>
      <c r="E37" s="32" t="s">
        <v>228</v>
      </c>
      <c r="F37" s="32" t="s">
        <v>117</v>
      </c>
      <c r="G37" s="33">
        <v>45343</v>
      </c>
      <c r="H37" s="32" t="s">
        <v>229</v>
      </c>
      <c r="I37" s="32" t="s">
        <v>230</v>
      </c>
      <c r="J37" s="22"/>
      <c r="K37" s="22" t="s">
        <v>88</v>
      </c>
      <c r="L37" s="22" t="s">
        <v>69</v>
      </c>
      <c r="M37" s="22" t="s">
        <v>90</v>
      </c>
      <c r="N37" s="30" cm="1">
        <f t="array" ref="N37">IF(OR(L37="",M37=""),"", IF(OR(ISNA(MATCH(L37,{"Low","Medium","High"},0)), ISNA(MATCH(M37,{"Low","Medium","High"},0))),"",_xlfn.SWITCH(L37,"Low",1,"Medium",2,"High",3) + 3 * _xlfn.SWITCH(M37,"Low",1,"Medium",2,"High",3) - 3))</f>
        <v>6</v>
      </c>
      <c r="O37" s="37" t="s">
        <v>28</v>
      </c>
      <c r="P37" s="22" t="str">
        <f>IFERROR(VLOOKUP(O37,'Excel Table (Do Not Format)'!A:D,2,FALSE),"")</f>
        <v>High Impact Talent [H,M]</v>
      </c>
      <c r="Q37" s="22" t="str">
        <f>IFERROR(VLOOKUP(O37,'Excel Table (Do Not Format)'!A:D,3,FALSE),"")</f>
        <v>expand responsibilities in current role, identify key experiences and increase executive exposure</v>
      </c>
      <c r="R37" s="22" t="str">
        <f>IFERROR(VLOOKUP(O37,'Excel Table (Do Not Format)'!A:D,4,FALSE),"")</f>
        <v xml:space="preserve">Differentially Invest - Ensure career discussions are happening regualrly? Do they have an individual development plan? What opportunities exist to accelerate development and growth? Revisit talent often to plan for next steps. </v>
      </c>
      <c r="S37" s="39"/>
      <c r="T37" s="38" t="s">
        <v>92</v>
      </c>
      <c r="U37" s="2" t="s">
        <v>82</v>
      </c>
      <c r="V37" s="2" t="s">
        <v>82</v>
      </c>
      <c r="W37" s="2"/>
      <c r="X37" s="2"/>
    </row>
    <row r="38" spans="1:24" ht="65">
      <c r="A38" s="31">
        <v>104041</v>
      </c>
      <c r="B38" s="22" t="s">
        <v>231</v>
      </c>
      <c r="C38" s="32" t="s">
        <v>232</v>
      </c>
      <c r="D38" s="32" t="s">
        <v>233</v>
      </c>
      <c r="E38" s="32" t="s">
        <v>233</v>
      </c>
      <c r="F38" s="32" t="s">
        <v>86</v>
      </c>
      <c r="G38" s="33">
        <v>44733</v>
      </c>
      <c r="H38" s="32" t="s">
        <v>66</v>
      </c>
      <c r="I38" s="32" t="s">
        <v>234</v>
      </c>
      <c r="J38" s="22" t="s">
        <v>88</v>
      </c>
      <c r="K38" s="22" t="s">
        <v>89</v>
      </c>
      <c r="L38" s="22" t="s">
        <v>90</v>
      </c>
      <c r="M38" s="22" t="s">
        <v>90</v>
      </c>
      <c r="N38" s="30" cm="1">
        <f t="array" ref="N38">IF(OR(L38="",M38=""),"", IF(OR(ISNA(MATCH(L38,{"Low","Medium","High"},0)), ISNA(MATCH(M38,{"Low","Medium","High"},0))),"",_xlfn.SWITCH(L38,"Low",1,"Medium",2,"High",3) + 3 * _xlfn.SWITCH(M38,"Low",1,"Medium",2,"High",3) - 3))</f>
        <v>5</v>
      </c>
      <c r="O38" s="37" t="s">
        <v>25</v>
      </c>
      <c r="P38" s="22" t="str">
        <f>IFERROR(VLOOKUP(O38,'Excel Table (Do Not Format)'!A:D,2,FALSE),"")</f>
        <v>Core Talent [M,M]</v>
      </c>
      <c r="Q38" s="22" t="str">
        <f>IFERROR(VLOOKUP(O38,'Excel Table (Do Not Format)'!A:D,3,FALSE),"")</f>
        <v>identify performance barriers, explore portential to expand responsibilties in current role and discuss career aspirations (ideally for talent new in role)</v>
      </c>
      <c r="R38" s="22" t="str">
        <f>IFERROR(VLOOKUP(O38,'Excel Table (Do Not Format)'!A:D,4,FALSE),"")</f>
        <v xml:space="preserve">Develop in Role - Identify developmental activities to continue to grow their skill and set them up for success for anticiapted progression </v>
      </c>
      <c r="S38" s="39"/>
      <c r="T38" s="38" t="s">
        <v>80</v>
      </c>
      <c r="U38" s="2" t="s">
        <v>175</v>
      </c>
      <c r="V38" s="2" t="s">
        <v>148</v>
      </c>
      <c r="W38" s="2" t="s">
        <v>175</v>
      </c>
      <c r="X38" s="2"/>
    </row>
    <row r="39" spans="1:24" ht="52">
      <c r="A39" s="31">
        <v>102723</v>
      </c>
      <c r="B39" s="22" t="s">
        <v>235</v>
      </c>
      <c r="C39" s="32" t="s">
        <v>236</v>
      </c>
      <c r="D39" s="32" t="s">
        <v>210</v>
      </c>
      <c r="E39" s="32" t="s">
        <v>210</v>
      </c>
      <c r="F39" s="32" t="s">
        <v>117</v>
      </c>
      <c r="G39" s="33">
        <v>44487</v>
      </c>
      <c r="H39" s="32" t="s">
        <v>66</v>
      </c>
      <c r="I39" s="32" t="s">
        <v>237</v>
      </c>
      <c r="J39" s="22" t="s">
        <v>88</v>
      </c>
      <c r="K39" s="22" t="s">
        <v>89</v>
      </c>
      <c r="L39" s="22" t="s">
        <v>69</v>
      </c>
      <c r="M39" s="22" t="s">
        <v>90</v>
      </c>
      <c r="N39" s="30" cm="1">
        <f t="array" ref="N39">IF(OR(L39="",M39=""),"", IF(OR(ISNA(MATCH(L39,{"Low","Medium","High"},0)), ISNA(MATCH(M39,{"Low","Medium","High"},0))),"",_xlfn.SWITCH(L39,"Low",1,"Medium",2,"High",3) + 3 * _xlfn.SWITCH(M39,"Low",1,"Medium",2,"High",3) - 3))</f>
        <v>6</v>
      </c>
      <c r="O39" s="37" t="s">
        <v>39</v>
      </c>
      <c r="P39" s="22" t="str">
        <f>IFERROR(VLOOKUP(O39,'Excel Table (Do Not Format)'!A:D,2,FALSE),"")</f>
        <v>Top Talent [H,H]</v>
      </c>
      <c r="Q39" s="22" t="str">
        <f>IFERROR(VLOOKUP(O39,'Excel Table (Do Not Format)'!A:D,3,FALSE),"")</f>
        <v xml:space="preserve">identify stretch experiences or temporary assignments, increase executive exposure </v>
      </c>
      <c r="R39" s="22" t="str">
        <f>IFERROR(VLOOKUP(O39,'Excel Table (Do Not Format)'!A:D,4,FALSE),"")</f>
        <v xml:space="preserve">Differentially Invest - Ensure career discussions are happening regualrly? Do they have an individual development plan? What opportunities exist to accelerate development and growth? Revisit talent often to plan for next steps. </v>
      </c>
      <c r="S39" s="39" t="s">
        <v>238</v>
      </c>
      <c r="T39" s="38" t="s">
        <v>92</v>
      </c>
      <c r="U39" s="2" t="s">
        <v>108</v>
      </c>
      <c r="V39" s="2" t="s">
        <v>82</v>
      </c>
      <c r="W39" s="2" t="s">
        <v>109</v>
      </c>
      <c r="X39" s="2"/>
    </row>
    <row r="40" spans="1:24" ht="52">
      <c r="A40" s="31">
        <v>106369</v>
      </c>
      <c r="B40" s="22" t="s">
        <v>239</v>
      </c>
      <c r="C40" s="32" t="s">
        <v>240</v>
      </c>
      <c r="D40" s="32" t="s">
        <v>162</v>
      </c>
      <c r="E40" s="32" t="s">
        <v>162</v>
      </c>
      <c r="F40" s="32" t="s">
        <v>163</v>
      </c>
      <c r="G40" s="33">
        <v>45943</v>
      </c>
      <c r="H40" s="32" t="s">
        <v>77</v>
      </c>
      <c r="I40" s="32" t="s">
        <v>241</v>
      </c>
      <c r="J40" s="22"/>
      <c r="K40" s="22"/>
      <c r="L40" s="22"/>
      <c r="M40" s="22"/>
      <c r="N40" s="22"/>
      <c r="O40" s="37" t="s">
        <v>25</v>
      </c>
      <c r="P40" s="22" t="str">
        <f>IFERROR(VLOOKUP(O40,'Excel Table (Do Not Format)'!A:D,2,FALSE),"")</f>
        <v>Core Talent [M,M]</v>
      </c>
      <c r="Q40" s="22" t="str">
        <f>IFERROR(VLOOKUP(O40,'Excel Table (Do Not Format)'!A:D,3,FALSE),"")</f>
        <v>identify performance barriers, explore portential to expand responsibilties in current role and discuss career aspirations (ideally for talent new in role)</v>
      </c>
      <c r="R40" s="22" t="str">
        <f>IFERROR(VLOOKUP(O40,'Excel Table (Do Not Format)'!A:D,4,FALSE),"")</f>
        <v xml:space="preserve">Develop in Role - Identify developmental activities to continue to grow their skill and set them up for success for anticiapted progression </v>
      </c>
      <c r="S40" s="39"/>
      <c r="T40" s="38"/>
      <c r="U40" s="2" t="s">
        <v>148</v>
      </c>
      <c r="V40" s="2" t="s">
        <v>148</v>
      </c>
      <c r="W40" s="2"/>
      <c r="X40" s="2"/>
    </row>
    <row r="41" spans="1:24" ht="52">
      <c r="A41" s="31">
        <v>103074</v>
      </c>
      <c r="B41" s="22" t="s">
        <v>242</v>
      </c>
      <c r="C41" s="32" t="s">
        <v>74</v>
      </c>
      <c r="D41" s="32" t="s">
        <v>243</v>
      </c>
      <c r="E41" s="32" t="s">
        <v>243</v>
      </c>
      <c r="F41" s="32" t="s">
        <v>76</v>
      </c>
      <c r="G41" s="33">
        <v>44578</v>
      </c>
      <c r="H41" s="32" t="s">
        <v>66</v>
      </c>
      <c r="I41" s="32" t="s">
        <v>244</v>
      </c>
      <c r="J41" s="22" t="s">
        <v>89</v>
      </c>
      <c r="K41" s="22"/>
      <c r="L41" s="22" t="s">
        <v>90</v>
      </c>
      <c r="M41" s="22" t="s">
        <v>69</v>
      </c>
      <c r="N41" s="30" cm="1">
        <f t="array" ref="N41">IF(OR(L41="",M41=""),"", IF(OR(ISNA(MATCH(L41,{"Low","Medium","High"},0)), ISNA(MATCH(M41,{"Low","Medium","High"},0))),"",_xlfn.SWITCH(L41,"Low",1,"Medium",2,"High",3) + 3 * _xlfn.SWITCH(M41,"Low",1,"Medium",2,"High",3) - 3))</f>
        <v>8</v>
      </c>
      <c r="O41" s="37" t="s">
        <v>36</v>
      </c>
      <c r="P41" s="22" t="str">
        <f>IFERROR(VLOOKUP(O41,'Excel Table (Do Not Format)'!A:D,2,FALSE),"")</f>
        <v>Growth Talent [M,H]</v>
      </c>
      <c r="Q41" s="22" t="str">
        <f>IFERROR(VLOOKUP(O41,'Excel Table (Do Not Format)'!A:D,3,FALSE),"")</f>
        <v xml:space="preserve">identify performance barriers, explore portential to expand responsibilties in current role </v>
      </c>
      <c r="R41" s="22" t="str">
        <f>IFERROR(VLOOKUP(O41,'Excel Table (Do Not Format)'!A:D,4,FALSE),"")</f>
        <v xml:space="preserve">Differentially Invest - Ensure career discussions are happening regualrly? Do they have an individual development plan? What opportunities exist to accelerate development and growth? Revisit talent often to plan for next steps. </v>
      </c>
      <c r="S41" s="39"/>
      <c r="T41" s="38"/>
      <c r="U41" s="2" t="s">
        <v>98</v>
      </c>
      <c r="V41" s="2" t="s">
        <v>82</v>
      </c>
      <c r="W41" s="2" t="s">
        <v>98</v>
      </c>
      <c r="X41" s="2"/>
    </row>
    <row r="42" spans="1:24" ht="65">
      <c r="A42" s="31">
        <v>104765</v>
      </c>
      <c r="B42" s="22" t="s">
        <v>245</v>
      </c>
      <c r="C42" s="32" t="s">
        <v>232</v>
      </c>
      <c r="D42" s="32" t="s">
        <v>246</v>
      </c>
      <c r="E42" s="32" t="s">
        <v>246</v>
      </c>
      <c r="F42" s="32" t="s">
        <v>86</v>
      </c>
      <c r="G42" s="33">
        <v>44958</v>
      </c>
      <c r="H42" s="32" t="s">
        <v>96</v>
      </c>
      <c r="I42" s="32" t="s">
        <v>223</v>
      </c>
      <c r="J42" s="22" t="s">
        <v>89</v>
      </c>
      <c r="K42" s="22" t="s">
        <v>88</v>
      </c>
      <c r="L42" s="22" t="s">
        <v>103</v>
      </c>
      <c r="M42" s="22" t="s">
        <v>90</v>
      </c>
      <c r="N42" s="30" cm="1">
        <f t="array" ref="N42">IF(OR(L42="",M42=""),"", IF(OR(ISNA(MATCH(L42,{"Low","Medium","High"},0)), ISNA(MATCH(M42,{"Low","Medium","High"},0))),"",_xlfn.SWITCH(L42,"Low",1,"Medium",2,"High",3) + 3 * _xlfn.SWITCH(M42,"Low",1,"Medium",2,"High",3) - 3))</f>
        <v>4</v>
      </c>
      <c r="O42" s="37" t="s">
        <v>25</v>
      </c>
      <c r="P42" s="22" t="str">
        <f>IFERROR(VLOOKUP(O42,'Excel Table (Do Not Format)'!A:D,2,FALSE),"")</f>
        <v>Core Talent [M,M]</v>
      </c>
      <c r="Q42" s="22" t="str">
        <f>IFERROR(VLOOKUP(O42,'Excel Table (Do Not Format)'!A:D,3,FALSE),"")</f>
        <v>identify performance barriers, explore portential to expand responsibilties in current role and discuss career aspirations (ideally for talent new in role)</v>
      </c>
      <c r="R42" s="22" t="str">
        <f>IFERROR(VLOOKUP(O42,'Excel Table (Do Not Format)'!A:D,4,FALSE),"")</f>
        <v xml:space="preserve">Develop in Role - Identify developmental activities to continue to grow their skill and set them up for success for anticiapted progression </v>
      </c>
      <c r="S42" s="39"/>
      <c r="T42" s="38" t="s">
        <v>80</v>
      </c>
      <c r="U42" s="2" t="s">
        <v>204</v>
      </c>
      <c r="V42" s="2" t="s">
        <v>72</v>
      </c>
      <c r="W42" s="2" t="s">
        <v>204</v>
      </c>
      <c r="X42" s="2"/>
    </row>
    <row r="43" spans="1:24" ht="52">
      <c r="A43" s="31">
        <v>100807</v>
      </c>
      <c r="B43" s="22" t="s">
        <v>247</v>
      </c>
      <c r="C43" s="32" t="s">
        <v>74</v>
      </c>
      <c r="D43" s="32" t="s">
        <v>196</v>
      </c>
      <c r="E43" s="32" t="s">
        <v>196</v>
      </c>
      <c r="F43" s="32" t="s">
        <v>76</v>
      </c>
      <c r="G43" s="33">
        <v>43724</v>
      </c>
      <c r="H43" s="32" t="s">
        <v>164</v>
      </c>
      <c r="I43" s="32" t="s">
        <v>248</v>
      </c>
      <c r="J43" s="22" t="s">
        <v>89</v>
      </c>
      <c r="K43" s="22" t="s">
        <v>89</v>
      </c>
      <c r="L43" s="22" t="s">
        <v>90</v>
      </c>
      <c r="M43" s="22" t="s">
        <v>90</v>
      </c>
      <c r="N43" s="30" cm="1">
        <f t="array" ref="N43">IF(OR(L43="",M43=""),"", IF(OR(ISNA(MATCH(L43,{"Low","Medium","High"},0)), ISNA(MATCH(M43,{"Low","Medium","High"},0))),"",_xlfn.SWITCH(L43,"Low",1,"Medium",2,"High",3) + 3 * _xlfn.SWITCH(M43,"Low",1,"Medium",2,"High",3) - 3))</f>
        <v>5</v>
      </c>
      <c r="O43" s="37" t="s">
        <v>25</v>
      </c>
      <c r="P43" s="22" t="str">
        <f>IFERROR(VLOOKUP(O43,'Excel Table (Do Not Format)'!A:D,2,FALSE),"")</f>
        <v>Core Talent [M,M]</v>
      </c>
      <c r="Q43" s="22" t="str">
        <f>IFERROR(VLOOKUP(O43,'Excel Table (Do Not Format)'!A:D,3,FALSE),"")</f>
        <v>identify performance barriers, explore portential to expand responsibilties in current role and discuss career aspirations (ideally for talent new in role)</v>
      </c>
      <c r="R43" s="22" t="str">
        <f>IFERROR(VLOOKUP(O43,'Excel Table (Do Not Format)'!A:D,4,FALSE),"")</f>
        <v xml:space="preserve">Develop in Role - Identify developmental activities to continue to grow their skill and set them up for success for anticiapted progression </v>
      </c>
      <c r="S43" s="39" t="s">
        <v>249</v>
      </c>
      <c r="T43" s="38" t="s">
        <v>80</v>
      </c>
      <c r="U43" s="2" t="s">
        <v>250</v>
      </c>
      <c r="V43" s="2" t="s">
        <v>82</v>
      </c>
      <c r="W43" s="2" t="s">
        <v>250</v>
      </c>
      <c r="X43" s="2"/>
    </row>
    <row r="44" spans="1:24" ht="39">
      <c r="A44" s="31">
        <v>102464</v>
      </c>
      <c r="B44" s="22" t="s">
        <v>251</v>
      </c>
      <c r="C44" s="32" t="s">
        <v>143</v>
      </c>
      <c r="D44" s="32" t="s">
        <v>143</v>
      </c>
      <c r="E44" s="32" t="s">
        <v>143</v>
      </c>
      <c r="F44" s="32" t="s">
        <v>117</v>
      </c>
      <c r="G44" s="33">
        <v>44438</v>
      </c>
      <c r="H44" s="32" t="s">
        <v>66</v>
      </c>
      <c r="I44" s="32" t="s">
        <v>252</v>
      </c>
      <c r="J44" s="22" t="s">
        <v>89</v>
      </c>
      <c r="K44" s="22" t="s">
        <v>68</v>
      </c>
      <c r="L44" s="22" t="s">
        <v>90</v>
      </c>
      <c r="M44" s="22" t="s">
        <v>90</v>
      </c>
      <c r="N44" s="30" cm="1">
        <f t="array" ref="N44">IF(OR(L44="",M44=""),"", IF(OR(ISNA(MATCH(L44,{"Low","Medium","High"},0)), ISNA(MATCH(M44,{"Low","Medium","High"},0))),"",_xlfn.SWITCH(L44,"Low",1,"Medium",2,"High",3) + 3 * _xlfn.SWITCH(M44,"Low",1,"Medium",2,"High",3) - 3))</f>
        <v>5</v>
      </c>
      <c r="O44" s="37" t="s">
        <v>10</v>
      </c>
      <c r="P44" s="22" t="str">
        <f>IFERROR(VLOOKUP(O44,'Excel Table (Do Not Format)'!A:D,2,FALSE),"")</f>
        <v>Underperforming Talent [L,L]</v>
      </c>
      <c r="Q44" s="22" t="str">
        <f>IFERROR(VLOOKUP(O44,'Excel Table (Do Not Format)'!A:D,3,FALSE),"")</f>
        <v xml:space="preserve">re-assign or manage out of Alteryx </v>
      </c>
      <c r="R44" s="22" t="str">
        <f>IFERROR(VLOOKUP(O44,'Excel Table (Do Not Format)'!A:D,4,FALSE),"")</f>
        <v xml:space="preserve">Make A Plan -  Identify a plan to improve performance in partnership with HR </v>
      </c>
      <c r="S44" s="39" t="s">
        <v>253</v>
      </c>
      <c r="T44" s="38" t="s">
        <v>80</v>
      </c>
      <c r="U44" s="2" t="s">
        <v>250</v>
      </c>
      <c r="V44" s="2" t="s">
        <v>82</v>
      </c>
      <c r="W44" s="2" t="s">
        <v>250</v>
      </c>
      <c r="X44" s="2"/>
    </row>
    <row r="45" spans="1:24" ht="50">
      <c r="A45" s="31">
        <v>100632</v>
      </c>
      <c r="B45" s="22" t="s">
        <v>254</v>
      </c>
      <c r="C45" s="32" t="s">
        <v>122</v>
      </c>
      <c r="D45" s="32" t="s">
        <v>255</v>
      </c>
      <c r="E45" s="32" t="s">
        <v>255</v>
      </c>
      <c r="F45" s="32" t="s">
        <v>117</v>
      </c>
      <c r="G45" s="33">
        <v>44683</v>
      </c>
      <c r="H45" s="32" t="s">
        <v>66</v>
      </c>
      <c r="I45" s="32" t="s">
        <v>256</v>
      </c>
      <c r="J45" s="22" t="s">
        <v>88</v>
      </c>
      <c r="K45" s="22" t="s">
        <v>88</v>
      </c>
      <c r="L45" s="22" t="s">
        <v>90</v>
      </c>
      <c r="M45" s="22" t="s">
        <v>90</v>
      </c>
      <c r="N45" s="30" cm="1">
        <f t="array" ref="N45">IF(OR(L45="",M45=""),"", IF(OR(ISNA(MATCH(L45,{"Low","Medium","High"},0)), ISNA(MATCH(M45,{"Low","Medium","High"},0))),"",_xlfn.SWITCH(L45,"Low",1,"Medium",2,"High",3) + 3 * _xlfn.SWITCH(M45,"Low",1,"Medium",2,"High",3) - 3))</f>
        <v>5</v>
      </c>
      <c r="O45" s="37" t="s">
        <v>25</v>
      </c>
      <c r="P45" s="22" t="str">
        <f>IFERROR(VLOOKUP(O45,'Excel Table (Do Not Format)'!A:D,2,FALSE),"")</f>
        <v>Core Talent [M,M]</v>
      </c>
      <c r="Q45" s="22" t="str">
        <f>IFERROR(VLOOKUP(O45,'Excel Table (Do Not Format)'!A:D,3,FALSE),"")</f>
        <v>identify performance barriers, explore portential to expand responsibilties in current role and discuss career aspirations (ideally for talent new in role)</v>
      </c>
      <c r="R45" s="22" t="str">
        <f>IFERROR(VLOOKUP(O45,'Excel Table (Do Not Format)'!A:D,4,FALSE),"")</f>
        <v xml:space="preserve">Develop in Role - Identify developmental activities to continue to grow their skill and set them up for success for anticiapted progression </v>
      </c>
      <c r="S45" s="39"/>
      <c r="T45" s="38"/>
      <c r="U45" s="2" t="s">
        <v>126</v>
      </c>
      <c r="V45" s="2" t="s">
        <v>82</v>
      </c>
      <c r="W45" s="2" t="s">
        <v>126</v>
      </c>
      <c r="X45" s="2"/>
    </row>
    <row r="46" spans="1:24" ht="65">
      <c r="A46" s="31">
        <v>102959</v>
      </c>
      <c r="B46" s="22" t="s">
        <v>257</v>
      </c>
      <c r="C46" s="32" t="s">
        <v>232</v>
      </c>
      <c r="D46" s="32" t="s">
        <v>246</v>
      </c>
      <c r="E46" s="32" t="s">
        <v>246</v>
      </c>
      <c r="F46" s="32" t="s">
        <v>86</v>
      </c>
      <c r="G46" s="33">
        <v>44593</v>
      </c>
      <c r="H46" s="32" t="s">
        <v>66</v>
      </c>
      <c r="I46" s="32" t="s">
        <v>156</v>
      </c>
      <c r="J46" s="22" t="s">
        <v>89</v>
      </c>
      <c r="K46" s="22" t="s">
        <v>88</v>
      </c>
      <c r="L46" s="22" t="s">
        <v>90</v>
      </c>
      <c r="M46" s="22" t="s">
        <v>90</v>
      </c>
      <c r="N46" s="30" cm="1">
        <f t="array" ref="N46">IF(OR(L46="",M46=""),"", IF(OR(ISNA(MATCH(L46,{"Low","Medium","High"},0)), ISNA(MATCH(M46,{"Low","Medium","High"},0))),"",_xlfn.SWITCH(L46,"Low",1,"Medium",2,"High",3) + 3 * _xlfn.SWITCH(M46,"Low",1,"Medium",2,"High",3) - 3))</f>
        <v>5</v>
      </c>
      <c r="O46" s="37" t="s">
        <v>25</v>
      </c>
      <c r="P46" s="22" t="str">
        <f>IFERROR(VLOOKUP(O46,'Excel Table (Do Not Format)'!A:D,2,FALSE),"")</f>
        <v>Core Talent [M,M]</v>
      </c>
      <c r="Q46" s="22" t="str">
        <f>IFERROR(VLOOKUP(O46,'Excel Table (Do Not Format)'!A:D,3,FALSE),"")</f>
        <v>identify performance barriers, explore portential to expand responsibilties in current role and discuss career aspirations (ideally for talent new in role)</v>
      </c>
      <c r="R46" s="22" t="str">
        <f>IFERROR(VLOOKUP(O46,'Excel Table (Do Not Format)'!A:D,4,FALSE),"")</f>
        <v xml:space="preserve">Develop in Role - Identify developmental activities to continue to grow their skill and set them up for success for anticiapted progression </v>
      </c>
      <c r="S46" s="44" t="s">
        <v>258</v>
      </c>
      <c r="T46" s="38" t="s">
        <v>80</v>
      </c>
      <c r="U46" s="2" t="s">
        <v>133</v>
      </c>
      <c r="V46" s="2" t="s">
        <v>72</v>
      </c>
      <c r="W46" s="2" t="s">
        <v>134</v>
      </c>
      <c r="X46" s="2"/>
    </row>
    <row r="47" spans="1:24" ht="52">
      <c r="A47" s="31">
        <v>103397</v>
      </c>
      <c r="B47" s="22" t="s">
        <v>259</v>
      </c>
      <c r="C47" s="32" t="s">
        <v>260</v>
      </c>
      <c r="D47" s="32" t="s">
        <v>261</v>
      </c>
      <c r="E47" s="32" t="s">
        <v>261</v>
      </c>
      <c r="F47" s="32" t="s">
        <v>86</v>
      </c>
      <c r="G47" s="33">
        <v>44599</v>
      </c>
      <c r="H47" s="32" t="s">
        <v>66</v>
      </c>
      <c r="I47" s="32" t="s">
        <v>87</v>
      </c>
      <c r="J47" s="22" t="s">
        <v>89</v>
      </c>
      <c r="K47" s="22" t="s">
        <v>89</v>
      </c>
      <c r="L47" s="22" t="s">
        <v>90</v>
      </c>
      <c r="M47" s="22" t="s">
        <v>69</v>
      </c>
      <c r="N47" s="30" cm="1">
        <f t="array" ref="N47">IF(OR(L47="",M47=""),"", IF(OR(ISNA(MATCH(L47,{"Low","Medium","High"},0)), ISNA(MATCH(M47,{"Low","Medium","High"},0))),"",_xlfn.SWITCH(L47,"Low",1,"Medium",2,"High",3) + 3 * _xlfn.SWITCH(M47,"Low",1,"Medium",2,"High",3) - 3))</f>
        <v>8</v>
      </c>
      <c r="O47" s="37" t="s">
        <v>39</v>
      </c>
      <c r="P47" s="22" t="str">
        <f>IFERROR(VLOOKUP(O47,'Excel Table (Do Not Format)'!A:D,2,FALSE),"")</f>
        <v>Top Talent [H,H]</v>
      </c>
      <c r="Q47" s="22" t="str">
        <f>IFERROR(VLOOKUP(O47,'Excel Table (Do Not Format)'!A:D,3,FALSE),"")</f>
        <v xml:space="preserve">identify stretch experiences or temporary assignments, increase executive exposure </v>
      </c>
      <c r="R47" s="22" t="str">
        <f>IFERROR(VLOOKUP(O47,'Excel Table (Do Not Format)'!A:D,4,FALSE),"")</f>
        <v xml:space="preserve">Differentially Invest - Ensure career discussions are happening regualrly? Do they have an individual development plan? What opportunities exist to accelerate development and growth? Revisit talent often to plan for next steps. </v>
      </c>
      <c r="S47" s="39"/>
      <c r="T47" s="38" t="s">
        <v>92</v>
      </c>
      <c r="U47" s="2" t="s">
        <v>262</v>
      </c>
      <c r="V47" s="2" t="s">
        <v>82</v>
      </c>
      <c r="W47" s="2" t="s">
        <v>262</v>
      </c>
      <c r="X47" s="2"/>
    </row>
    <row r="48" spans="1:24" ht="52">
      <c r="A48" s="31">
        <v>102065</v>
      </c>
      <c r="B48" s="22" t="s">
        <v>263</v>
      </c>
      <c r="C48" s="32" t="s">
        <v>74</v>
      </c>
      <c r="D48" s="32" t="s">
        <v>74</v>
      </c>
      <c r="E48" s="32" t="s">
        <v>196</v>
      </c>
      <c r="F48" s="32" t="s">
        <v>76</v>
      </c>
      <c r="G48" s="33">
        <v>44361</v>
      </c>
      <c r="H48" s="32" t="s">
        <v>66</v>
      </c>
      <c r="I48" s="32" t="s">
        <v>147</v>
      </c>
      <c r="J48" s="22" t="s">
        <v>88</v>
      </c>
      <c r="K48" s="22" t="s">
        <v>88</v>
      </c>
      <c r="L48" s="22" t="s">
        <v>90</v>
      </c>
      <c r="M48" s="22" t="s">
        <v>90</v>
      </c>
      <c r="N48" s="30" cm="1">
        <f t="array" ref="N48">IF(OR(L48="",M48=""),"", IF(OR(ISNA(MATCH(L48,{"Low","Medium","High"},0)), ISNA(MATCH(M48,{"Low","Medium","High"},0))),"",_xlfn.SWITCH(L48,"Low",1,"Medium",2,"High",3) + 3 * _xlfn.SWITCH(M48,"Low",1,"Medium",2,"High",3) - 3))</f>
        <v>5</v>
      </c>
      <c r="O48" s="37" t="s">
        <v>28</v>
      </c>
      <c r="P48" s="22" t="str">
        <f>IFERROR(VLOOKUP(O48,'Excel Table (Do Not Format)'!A:D,2,FALSE),"")</f>
        <v>High Impact Talent [H,M]</v>
      </c>
      <c r="Q48" s="22" t="str">
        <f>IFERROR(VLOOKUP(O48,'Excel Table (Do Not Format)'!A:D,3,FALSE),"")</f>
        <v>expand responsibilities in current role, identify key experiences and increase executive exposure</v>
      </c>
      <c r="R48" s="22" t="str">
        <f>IFERROR(VLOOKUP(O48,'Excel Table (Do Not Format)'!A:D,4,FALSE),"")</f>
        <v xml:space="preserve">Differentially Invest - Ensure career discussions are happening regualrly? Do they have an individual development plan? What opportunities exist to accelerate development and growth? Revisit talent often to plan for next steps. </v>
      </c>
      <c r="S48" s="39" t="s">
        <v>264</v>
      </c>
      <c r="T48" s="38" t="s">
        <v>80</v>
      </c>
      <c r="U48" s="2" t="s">
        <v>250</v>
      </c>
      <c r="V48" s="2" t="s">
        <v>82</v>
      </c>
      <c r="W48" s="2" t="s">
        <v>250</v>
      </c>
      <c r="X48" s="2"/>
    </row>
    <row r="49" spans="1:24" ht="65">
      <c r="A49" s="31">
        <v>101254</v>
      </c>
      <c r="B49" s="22" t="s">
        <v>265</v>
      </c>
      <c r="C49" s="32" t="s">
        <v>232</v>
      </c>
      <c r="D49" s="32" t="s">
        <v>233</v>
      </c>
      <c r="E49" s="32" t="s">
        <v>233</v>
      </c>
      <c r="F49" s="32" t="s">
        <v>86</v>
      </c>
      <c r="G49" s="33">
        <v>43899</v>
      </c>
      <c r="H49" s="32" t="s">
        <v>164</v>
      </c>
      <c r="I49" s="32" t="s">
        <v>107</v>
      </c>
      <c r="J49" s="22" t="s">
        <v>89</v>
      </c>
      <c r="K49" s="22" t="s">
        <v>88</v>
      </c>
      <c r="L49" s="22" t="s">
        <v>90</v>
      </c>
      <c r="M49" s="22" t="s">
        <v>90</v>
      </c>
      <c r="N49" s="22">
        <v>5</v>
      </c>
      <c r="O49" s="37" t="s">
        <v>21</v>
      </c>
      <c r="P49" s="22" t="str">
        <f>IFERROR(VLOOKUP(O49,'Excel Table (Do Not Format)'!A:D,2,FALSE),"")</f>
        <v>Inconsistent Talent [L,M]</v>
      </c>
      <c r="Q49" s="22" t="str">
        <f>IFERROR(VLOOKUP(O49,'Excel Table (Do Not Format)'!A:D,3,FALSE),"")</f>
        <v xml:space="preserve">re-establish performance expectations in current role, drive performance and re-evaluate in 6-12 months </v>
      </c>
      <c r="R49" s="22" t="str">
        <f>IFERROR(VLOOKUP(O49,'Excel Table (Do Not Format)'!A:D,4,FALSE),"")</f>
        <v>Evaluate Fit/Make A Plan - Identify a coaching plan to improve performance</v>
      </c>
      <c r="S49" s="39"/>
      <c r="T49" s="38"/>
      <c r="U49" s="2" t="s">
        <v>262</v>
      </c>
      <c r="V49" s="2" t="s">
        <v>82</v>
      </c>
      <c r="W49" s="2" t="s">
        <v>262</v>
      </c>
      <c r="X49" s="2"/>
    </row>
    <row r="50" spans="1:24" ht="65">
      <c r="A50" s="31">
        <v>104925</v>
      </c>
      <c r="B50" s="22" t="s">
        <v>266</v>
      </c>
      <c r="C50" s="32" t="s">
        <v>267</v>
      </c>
      <c r="D50" s="32" t="s">
        <v>267</v>
      </c>
      <c r="E50" s="32" t="s">
        <v>267</v>
      </c>
      <c r="F50" s="32" t="s">
        <v>86</v>
      </c>
      <c r="G50" s="33">
        <v>45078</v>
      </c>
      <c r="H50" s="32" t="s">
        <v>96</v>
      </c>
      <c r="I50" s="32" t="s">
        <v>268</v>
      </c>
      <c r="J50" s="22" t="s">
        <v>89</v>
      </c>
      <c r="K50" s="22" t="s">
        <v>89</v>
      </c>
      <c r="L50" s="22" t="s">
        <v>90</v>
      </c>
      <c r="M50" s="22" t="s">
        <v>69</v>
      </c>
      <c r="N50" s="30" cm="1">
        <f t="array" ref="N50">IF(OR(L50="",M50=""),"", IF(OR(ISNA(MATCH(L50,{"Low","Medium","High"},0)), ISNA(MATCH(M50,{"Low","Medium","High"},0))),"",_xlfn.SWITCH(L50,"Low",1,"Medium",2,"High",3) + 3 * _xlfn.SWITCH(M50,"Low",1,"Medium",2,"High",3) - 3))</f>
        <v>8</v>
      </c>
      <c r="O50" s="37" t="s">
        <v>39</v>
      </c>
      <c r="P50" s="22" t="str">
        <f>IFERROR(VLOOKUP(O50,'Excel Table (Do Not Format)'!A:D,2,FALSE),"")</f>
        <v>Top Talent [H,H]</v>
      </c>
      <c r="Q50" s="22" t="str">
        <f>IFERROR(VLOOKUP(O50,'Excel Table (Do Not Format)'!A:D,3,FALSE),"")</f>
        <v xml:space="preserve">identify stretch experiences or temporary assignments, increase executive exposure </v>
      </c>
      <c r="R50" s="22" t="str">
        <f>IFERROR(VLOOKUP(O50,'Excel Table (Do Not Format)'!A:D,4,FALSE),"")</f>
        <v xml:space="preserve">Differentially Invest - Ensure career discussions are happening regualrly? Do they have an individual development plan? What opportunities exist to accelerate development and growth? Revisit talent often to plan for next steps. </v>
      </c>
      <c r="S50" s="39"/>
      <c r="T50" s="38" t="s">
        <v>92</v>
      </c>
      <c r="U50" s="2" t="s">
        <v>175</v>
      </c>
      <c r="V50" s="2" t="s">
        <v>148</v>
      </c>
      <c r="W50" s="2" t="s">
        <v>148</v>
      </c>
      <c r="X50" s="2"/>
    </row>
    <row r="51" spans="1:24" ht="50">
      <c r="A51" s="31">
        <v>106327</v>
      </c>
      <c r="B51" s="22" t="s">
        <v>269</v>
      </c>
      <c r="C51" s="32" t="s">
        <v>142</v>
      </c>
      <c r="D51" s="32" t="s">
        <v>143</v>
      </c>
      <c r="E51" s="32" t="s">
        <v>143</v>
      </c>
      <c r="F51" s="32" t="s">
        <v>117</v>
      </c>
      <c r="G51" s="33">
        <v>45922</v>
      </c>
      <c r="H51" s="32" t="s">
        <v>77</v>
      </c>
      <c r="I51" s="32" t="s">
        <v>144</v>
      </c>
      <c r="J51" s="22"/>
      <c r="K51" s="22"/>
      <c r="L51" s="22"/>
      <c r="M51" s="22"/>
      <c r="N51" s="22"/>
      <c r="O51" s="37" t="s">
        <v>25</v>
      </c>
      <c r="P51" s="22" t="str">
        <f>IFERROR(VLOOKUP(O51,'Excel Table (Do Not Format)'!A:D,2,FALSE),"")</f>
        <v>Core Talent [M,M]</v>
      </c>
      <c r="Q51" s="22" t="str">
        <f>IFERROR(VLOOKUP(O51,'Excel Table (Do Not Format)'!A:D,3,FALSE),"")</f>
        <v>identify performance barriers, explore portential to expand responsibilties in current role and discuss career aspirations (ideally for talent new in role)</v>
      </c>
      <c r="R51" s="22" t="str">
        <f>IFERROR(VLOOKUP(O51,'Excel Table (Do Not Format)'!A:D,4,FALSE),"")</f>
        <v xml:space="preserve">Develop in Role - Identify developmental activities to continue to grow their skill and set them up for success for anticiapted progression </v>
      </c>
      <c r="S51" s="39" t="s">
        <v>270</v>
      </c>
      <c r="T51" s="38" t="s">
        <v>80</v>
      </c>
      <c r="U51" s="2" t="s">
        <v>145</v>
      </c>
      <c r="V51" s="2" t="s">
        <v>82</v>
      </c>
      <c r="W51" s="2" t="s">
        <v>145</v>
      </c>
      <c r="X51" s="2"/>
    </row>
    <row r="52" spans="1:24" ht="65">
      <c r="A52" s="31">
        <v>102667</v>
      </c>
      <c r="B52" s="22" t="s">
        <v>271</v>
      </c>
      <c r="C52" s="32" t="s">
        <v>272</v>
      </c>
      <c r="D52" s="32" t="s">
        <v>272</v>
      </c>
      <c r="E52" s="32" t="s">
        <v>272</v>
      </c>
      <c r="F52" s="32" t="s">
        <v>86</v>
      </c>
      <c r="G52" s="33">
        <v>44494</v>
      </c>
      <c r="H52" s="32" t="s">
        <v>66</v>
      </c>
      <c r="I52" s="32" t="s">
        <v>248</v>
      </c>
      <c r="J52" s="22" t="s">
        <v>89</v>
      </c>
      <c r="K52" s="22" t="s">
        <v>89</v>
      </c>
      <c r="L52" s="22" t="s">
        <v>90</v>
      </c>
      <c r="M52" s="22" t="s">
        <v>90</v>
      </c>
      <c r="N52" s="30" cm="1">
        <f t="array" ref="N52">IF(OR(L52="",M52=""),"", IF(OR(ISNA(MATCH(L52,{"Low","Medium","High"},0)), ISNA(MATCH(M52,{"Low","Medium","High"},0))),"",_xlfn.SWITCH(L52,"Low",1,"Medium",2,"High",3) + 3 * _xlfn.SWITCH(M52,"Low",1,"Medium",2,"High",3) - 3))</f>
        <v>5</v>
      </c>
      <c r="O52" s="37" t="s">
        <v>25</v>
      </c>
      <c r="P52" s="22" t="str">
        <f>IFERROR(VLOOKUP(O52,'Excel Table (Do Not Format)'!A:D,2,FALSE),"")</f>
        <v>Core Talent [M,M]</v>
      </c>
      <c r="Q52" s="22" t="str">
        <f>IFERROR(VLOOKUP(O52,'Excel Table (Do Not Format)'!A:D,3,FALSE),"")</f>
        <v>identify performance barriers, explore portential to expand responsibilties in current role and discuss career aspirations (ideally for talent new in role)</v>
      </c>
      <c r="R52" s="22" t="str">
        <f>IFERROR(VLOOKUP(O52,'Excel Table (Do Not Format)'!A:D,4,FALSE),"")</f>
        <v xml:space="preserve">Develop in Role - Identify developmental activities to continue to grow their skill and set them up for success for anticiapted progression </v>
      </c>
      <c r="S52" s="39"/>
      <c r="T52" s="38" t="s">
        <v>80</v>
      </c>
      <c r="U52" s="2" t="s">
        <v>108</v>
      </c>
      <c r="V52" s="2" t="s">
        <v>82</v>
      </c>
      <c r="W52" s="2" t="s">
        <v>109</v>
      </c>
      <c r="X52" s="2" t="s">
        <v>108</v>
      </c>
    </row>
    <row r="53" spans="1:24" ht="53">
      <c r="A53" s="31">
        <v>105299</v>
      </c>
      <c r="B53" s="22" t="s">
        <v>273</v>
      </c>
      <c r="C53" s="32" t="s">
        <v>274</v>
      </c>
      <c r="D53" s="32" t="s">
        <v>85</v>
      </c>
      <c r="E53" s="32" t="s">
        <v>85</v>
      </c>
      <c r="F53" s="32" t="s">
        <v>86</v>
      </c>
      <c r="G53" s="33">
        <v>45369</v>
      </c>
      <c r="H53" s="32" t="s">
        <v>229</v>
      </c>
      <c r="I53" s="32" t="s">
        <v>275</v>
      </c>
      <c r="J53" s="22"/>
      <c r="K53" s="22" t="s">
        <v>88</v>
      </c>
      <c r="L53" s="22" t="s">
        <v>90</v>
      </c>
      <c r="M53" s="22" t="s">
        <v>90</v>
      </c>
      <c r="N53" s="30" cm="1">
        <f t="array" ref="N53">IF(OR(L53="",M53=""),"", IF(OR(ISNA(MATCH(L53,{"Low","Medium","High"},0)), ISNA(MATCH(M53,{"Low","Medium","High"},0))),"",_xlfn.SWITCH(L53,"Low",1,"Medium",2,"High",3) + 3 * _xlfn.SWITCH(M53,"Low",1,"Medium",2,"High",3) - 3))</f>
        <v>5</v>
      </c>
      <c r="O53" s="37" t="s">
        <v>14</v>
      </c>
      <c r="P53" s="22" t="str">
        <f>IFERROR(VLOOKUP(O53,'Excel Table (Do Not Format)'!A:D,2,FALSE),"")</f>
        <v>Solid Talent [M,L]</v>
      </c>
      <c r="Q53" s="22" t="str">
        <f>IFERROR(VLOOKUP(O53,'Excel Table (Do Not Format)'!A:D,3,FALSE),"")</f>
        <v xml:space="preserve">consider expanding current role, explore lateral/development opportunities </v>
      </c>
      <c r="R53" s="22" t="str">
        <f>IFERROR(VLOOKUP(O53,'Excel Table (Do Not Format)'!A:D,4,FALSE),"")</f>
        <v xml:space="preserve">Develop in Role - Identify developmental activities to continue to grow their skill and set them up for success for anticiapted progression </v>
      </c>
      <c r="S53" s="47" t="s">
        <v>276</v>
      </c>
      <c r="T53" s="38" t="s">
        <v>80</v>
      </c>
      <c r="U53" s="2" t="s">
        <v>108</v>
      </c>
      <c r="V53" s="2" t="s">
        <v>82</v>
      </c>
      <c r="W53" s="2" t="s">
        <v>109</v>
      </c>
      <c r="X53" s="2" t="s">
        <v>108</v>
      </c>
    </row>
    <row r="54" spans="1:24" ht="65">
      <c r="A54" s="31">
        <v>105362</v>
      </c>
      <c r="B54" s="22" t="s">
        <v>277</v>
      </c>
      <c r="C54" s="32" t="s">
        <v>278</v>
      </c>
      <c r="D54" s="32" t="s">
        <v>279</v>
      </c>
      <c r="E54" s="32" t="s">
        <v>279</v>
      </c>
      <c r="F54" s="32" t="s">
        <v>86</v>
      </c>
      <c r="G54" s="33">
        <v>45453</v>
      </c>
      <c r="H54" s="32" t="s">
        <v>186</v>
      </c>
      <c r="I54" s="32" t="s">
        <v>280</v>
      </c>
      <c r="J54" s="22"/>
      <c r="K54" s="22" t="s">
        <v>88</v>
      </c>
      <c r="L54" s="22" t="s">
        <v>90</v>
      </c>
      <c r="M54" s="22" t="s">
        <v>90</v>
      </c>
      <c r="N54" s="30" cm="1">
        <f t="array" ref="N54">IF(OR(L54="",M54=""),"", IF(OR(ISNA(MATCH(L54,{"Low","Medium","High"},0)), ISNA(MATCH(M54,{"Low","Medium","High"},0))),"",_xlfn.SWITCH(L54,"Low",1,"Medium",2,"High",3) + 3 * _xlfn.SWITCH(M54,"Low",1,"Medium",2,"High",3) - 3))</f>
        <v>5</v>
      </c>
      <c r="O54" s="37" t="s">
        <v>21</v>
      </c>
      <c r="P54" s="22" t="str">
        <f>IFERROR(VLOOKUP(O54,'Excel Table (Do Not Format)'!A:D,2,FALSE),"")</f>
        <v>Inconsistent Talent [L,M]</v>
      </c>
      <c r="Q54" s="22" t="str">
        <f>IFERROR(VLOOKUP(O54,'Excel Table (Do Not Format)'!A:D,3,FALSE),"")</f>
        <v xml:space="preserve">re-establish performance expectations in current role, drive performance and re-evaluate in 6-12 months </v>
      </c>
      <c r="R54" s="22" t="str">
        <f>IFERROR(VLOOKUP(O54,'Excel Table (Do Not Format)'!A:D,4,FALSE),"")</f>
        <v>Evaluate Fit/Make A Plan - Identify a coaching plan to improve performance</v>
      </c>
      <c r="S54" s="39"/>
      <c r="T54" s="38"/>
      <c r="U54" s="2" t="s">
        <v>152</v>
      </c>
      <c r="V54" s="2" t="s">
        <v>148</v>
      </c>
      <c r="W54" s="2"/>
      <c r="X54" s="2"/>
    </row>
    <row r="55" spans="1:24" ht="65">
      <c r="A55" s="31">
        <v>100436</v>
      </c>
      <c r="B55" s="22" t="s">
        <v>281</v>
      </c>
      <c r="C55" s="32" t="s">
        <v>232</v>
      </c>
      <c r="D55" s="32" t="s">
        <v>233</v>
      </c>
      <c r="E55" s="32" t="s">
        <v>233</v>
      </c>
      <c r="F55" s="32" t="s">
        <v>86</v>
      </c>
      <c r="G55" s="33">
        <v>43843</v>
      </c>
      <c r="H55" s="32" t="s">
        <v>164</v>
      </c>
      <c r="I55" s="32" t="s">
        <v>282</v>
      </c>
      <c r="J55" s="22" t="s">
        <v>88</v>
      </c>
      <c r="K55" s="22"/>
      <c r="L55" s="22" t="s">
        <v>90</v>
      </c>
      <c r="M55" s="22" t="s">
        <v>103</v>
      </c>
      <c r="N55" s="30" cm="1">
        <f t="array" ref="N55">IF(OR(L55="",M55=""),"", IF(OR(ISNA(MATCH(L55,{"Low","Medium","High"},0)), ISNA(MATCH(M55,{"Low","Medium","High"},0))),"",_xlfn.SWITCH(L55,"Low",1,"Medium",2,"High",3) + 3 * _xlfn.SWITCH(M55,"Low",1,"Medium",2,"High",3) - 3))</f>
        <v>2</v>
      </c>
      <c r="O55" s="37" t="s">
        <v>21</v>
      </c>
      <c r="P55" s="22" t="str">
        <f>IFERROR(VLOOKUP(O55,'Excel Table (Do Not Format)'!A:D,2,FALSE),"")</f>
        <v>Inconsistent Talent [L,M]</v>
      </c>
      <c r="Q55" s="22" t="str">
        <f>IFERROR(VLOOKUP(O55,'Excel Table (Do Not Format)'!A:D,3,FALSE),"")</f>
        <v xml:space="preserve">re-establish performance expectations in current role, drive performance and re-evaluate in 6-12 months </v>
      </c>
      <c r="R55" s="22" t="str">
        <f>IFERROR(VLOOKUP(O55,'Excel Table (Do Not Format)'!A:D,4,FALSE),"")</f>
        <v>Evaluate Fit/Make A Plan - Identify a coaching plan to improve performance</v>
      </c>
      <c r="S55" s="39"/>
      <c r="T55" s="38" t="s">
        <v>80</v>
      </c>
      <c r="U55" s="2" t="s">
        <v>175</v>
      </c>
      <c r="V55" s="2" t="s">
        <v>148</v>
      </c>
      <c r="W55" s="2" t="s">
        <v>175</v>
      </c>
      <c r="X55" s="2"/>
    </row>
    <row r="56" spans="1:24" ht="50">
      <c r="A56" s="31">
        <v>105619</v>
      </c>
      <c r="B56" s="22" t="s">
        <v>283</v>
      </c>
      <c r="C56" s="32" t="s">
        <v>284</v>
      </c>
      <c r="D56" s="32" t="s">
        <v>228</v>
      </c>
      <c r="E56" s="32" t="s">
        <v>228</v>
      </c>
      <c r="F56" s="32" t="s">
        <v>117</v>
      </c>
      <c r="G56" s="33">
        <v>45551</v>
      </c>
      <c r="H56" s="32" t="s">
        <v>186</v>
      </c>
      <c r="I56" s="32" t="s">
        <v>285</v>
      </c>
      <c r="J56" s="22"/>
      <c r="K56" s="22" t="s">
        <v>88</v>
      </c>
      <c r="L56" s="22" t="s">
        <v>103</v>
      </c>
      <c r="M56" s="22" t="s">
        <v>90</v>
      </c>
      <c r="N56" s="30" cm="1">
        <f t="array" ref="N56">IF(OR(L56="",M56=""),"", IF(OR(ISNA(MATCH(L56,{"Low","Medium","High"},0)), ISNA(MATCH(M56,{"Low","Medium","High"},0))),"",_xlfn.SWITCH(L56,"Low",1,"Medium",2,"High",3) + 3 * _xlfn.SWITCH(M56,"Low",1,"Medium",2,"High",3) - 3))</f>
        <v>4</v>
      </c>
      <c r="O56" s="37" t="s">
        <v>25</v>
      </c>
      <c r="P56" s="22" t="str">
        <f>IFERROR(VLOOKUP(O56,'Excel Table (Do Not Format)'!A:D,2,FALSE),"")</f>
        <v>Core Talent [M,M]</v>
      </c>
      <c r="Q56" s="22" t="str">
        <f>IFERROR(VLOOKUP(O56,'Excel Table (Do Not Format)'!A:D,3,FALSE),"")</f>
        <v>identify performance barriers, explore portential to expand responsibilties in current role and discuss career aspirations (ideally for talent new in role)</v>
      </c>
      <c r="R56" s="22" t="str">
        <f>IFERROR(VLOOKUP(O56,'Excel Table (Do Not Format)'!A:D,4,FALSE),"")</f>
        <v xml:space="preserve">Develop in Role - Identify developmental activities to continue to grow their skill and set them up for success for anticiapted progression </v>
      </c>
      <c r="S56" s="45" t="s">
        <v>286</v>
      </c>
      <c r="T56" s="38" t="s">
        <v>80</v>
      </c>
      <c r="U56" s="2" t="s">
        <v>81</v>
      </c>
      <c r="V56" s="2" t="s">
        <v>82</v>
      </c>
      <c r="W56" s="2" t="s">
        <v>81</v>
      </c>
      <c r="X56" s="2"/>
    </row>
    <row r="57" spans="1:24" ht="65">
      <c r="A57" s="31">
        <v>2253</v>
      </c>
      <c r="B57" s="22" t="s">
        <v>287</v>
      </c>
      <c r="C57" s="32" t="s">
        <v>154</v>
      </c>
      <c r="D57" s="32" t="s">
        <v>288</v>
      </c>
      <c r="E57" s="32" t="s">
        <v>288</v>
      </c>
      <c r="F57" s="32" t="s">
        <v>76</v>
      </c>
      <c r="G57" s="33">
        <v>43374</v>
      </c>
      <c r="H57" s="32" t="s">
        <v>164</v>
      </c>
      <c r="I57" s="32" t="s">
        <v>181</v>
      </c>
      <c r="J57" s="22" t="s">
        <v>88</v>
      </c>
      <c r="K57" s="22" t="s">
        <v>89</v>
      </c>
      <c r="L57" s="22" t="s">
        <v>90</v>
      </c>
      <c r="M57" s="22" t="s">
        <v>90</v>
      </c>
      <c r="N57" s="30" cm="1">
        <f t="array" ref="N57">IF(OR(L57="",M57=""),"", IF(OR(ISNA(MATCH(L57,{"Low","Medium","High"},0)), ISNA(MATCH(M57,{"Low","Medium","High"},0))),"",_xlfn.SWITCH(L57,"Low",1,"Medium",2,"High",3) + 3 * _xlfn.SWITCH(M57,"Low",1,"Medium",2,"High",3) - 3))</f>
        <v>5</v>
      </c>
      <c r="O57" s="37" t="s">
        <v>25</v>
      </c>
      <c r="P57" s="22" t="str">
        <f>IFERROR(VLOOKUP(O57,'Excel Table (Do Not Format)'!A:D,2,FALSE),"")</f>
        <v>Core Talent [M,M]</v>
      </c>
      <c r="Q57" s="22" t="str">
        <f>IFERROR(VLOOKUP(O57,'Excel Table (Do Not Format)'!A:D,3,FALSE),"")</f>
        <v>identify performance barriers, explore portential to expand responsibilties in current role and discuss career aspirations (ideally for talent new in role)</v>
      </c>
      <c r="R57" s="22" t="str">
        <f>IFERROR(VLOOKUP(O57,'Excel Table (Do Not Format)'!A:D,4,FALSE),"")</f>
        <v xml:space="preserve">Develop in Role - Identify developmental activities to continue to grow their skill and set them up for success for anticiapted progression </v>
      </c>
      <c r="S57" s="39"/>
      <c r="T57" s="38" t="s">
        <v>80</v>
      </c>
      <c r="U57" s="2" t="s">
        <v>204</v>
      </c>
      <c r="V57" s="2" t="s">
        <v>72</v>
      </c>
      <c r="W57" s="2" t="s">
        <v>204</v>
      </c>
      <c r="X57" s="2"/>
    </row>
    <row r="58" spans="1:24" ht="65">
      <c r="A58" s="31">
        <v>104252</v>
      </c>
      <c r="B58" s="22" t="s">
        <v>289</v>
      </c>
      <c r="C58" s="32" t="s">
        <v>278</v>
      </c>
      <c r="D58" s="32" t="s">
        <v>290</v>
      </c>
      <c r="E58" s="32" t="s">
        <v>290</v>
      </c>
      <c r="F58" s="32" t="s">
        <v>86</v>
      </c>
      <c r="G58" s="33">
        <v>44795</v>
      </c>
      <c r="H58" s="32" t="s">
        <v>66</v>
      </c>
      <c r="I58" s="32" t="s">
        <v>291</v>
      </c>
      <c r="J58" s="22" t="s">
        <v>88</v>
      </c>
      <c r="K58" s="22" t="s">
        <v>68</v>
      </c>
      <c r="L58" s="22" t="s">
        <v>90</v>
      </c>
      <c r="M58" s="22" t="s">
        <v>90</v>
      </c>
      <c r="N58" s="30" cm="1">
        <f t="array" ref="N58">IF(OR(L58="",M58=""),"", IF(OR(ISNA(MATCH(L58,{"Low","Medium","High"},0)), ISNA(MATCH(M58,{"Low","Medium","High"},0))),"",_xlfn.SWITCH(L58,"Low",1,"Medium",2,"High",3) + 3 * _xlfn.SWITCH(M58,"Low",1,"Medium",2,"High",3) - 3))</f>
        <v>5</v>
      </c>
      <c r="O58" s="37" t="s">
        <v>25</v>
      </c>
      <c r="P58" s="22" t="str">
        <f>IFERROR(VLOOKUP(O58,'Excel Table (Do Not Format)'!A:D,2,FALSE),"")</f>
        <v>Core Talent [M,M]</v>
      </c>
      <c r="Q58" s="22" t="str">
        <f>IFERROR(VLOOKUP(O58,'Excel Table (Do Not Format)'!A:D,3,FALSE),"")</f>
        <v>identify performance barriers, explore portential to expand responsibilties in current role and discuss career aspirations (ideally for talent new in role)</v>
      </c>
      <c r="R58" s="22" t="str">
        <f>IFERROR(VLOOKUP(O58,'Excel Table (Do Not Format)'!A:D,4,FALSE),"")</f>
        <v xml:space="preserve">Develop in Role - Identify developmental activities to continue to grow their skill and set them up for success for anticiapted progression </v>
      </c>
      <c r="S58" s="39"/>
      <c r="T58" s="38"/>
      <c r="U58" s="2" t="s">
        <v>157</v>
      </c>
      <c r="V58" s="2" t="s">
        <v>148</v>
      </c>
      <c r="W58" s="2" t="s">
        <v>157</v>
      </c>
      <c r="X58" s="2"/>
    </row>
    <row r="59" spans="1:24" ht="52">
      <c r="A59" s="31">
        <v>104712</v>
      </c>
      <c r="B59" s="22" t="s">
        <v>292</v>
      </c>
      <c r="C59" s="32" t="s">
        <v>240</v>
      </c>
      <c r="D59" s="32" t="s">
        <v>240</v>
      </c>
      <c r="E59" s="32" t="s">
        <v>162</v>
      </c>
      <c r="F59" s="32" t="s">
        <v>163</v>
      </c>
      <c r="G59" s="33">
        <v>44900</v>
      </c>
      <c r="H59" s="32" t="s">
        <v>96</v>
      </c>
      <c r="I59" s="32" t="s">
        <v>147</v>
      </c>
      <c r="J59" s="22" t="s">
        <v>89</v>
      </c>
      <c r="K59" s="22" t="s">
        <v>88</v>
      </c>
      <c r="L59" s="22" t="s">
        <v>90</v>
      </c>
      <c r="M59" s="22" t="s">
        <v>103</v>
      </c>
      <c r="N59" s="30" cm="1">
        <f t="array" ref="N59">IF(OR(L59="",M59=""),"", IF(OR(ISNA(MATCH(L59,{"Low","Medium","High"},0)), ISNA(MATCH(M59,{"Low","Medium","High"},0))),"",_xlfn.SWITCH(L59,"Low",1,"Medium",2,"High",3) + 3 * _xlfn.SWITCH(M59,"Low",1,"Medium",2,"High",3) - 3))</f>
        <v>2</v>
      </c>
      <c r="O59" s="37" t="s">
        <v>21</v>
      </c>
      <c r="P59" s="22" t="str">
        <f>IFERROR(VLOOKUP(O59,'Excel Table (Do Not Format)'!A:D,2,FALSE),"")</f>
        <v>Inconsistent Talent [L,M]</v>
      </c>
      <c r="Q59" s="22" t="str">
        <f>IFERROR(VLOOKUP(O59,'Excel Table (Do Not Format)'!A:D,3,FALSE),"")</f>
        <v xml:space="preserve">re-establish performance expectations in current role, drive performance and re-evaluate in 6-12 months </v>
      </c>
      <c r="R59" s="22" t="str">
        <f>IFERROR(VLOOKUP(O59,'Excel Table (Do Not Format)'!A:D,4,FALSE),"")</f>
        <v>Evaluate Fit/Make A Plan - Identify a coaching plan to improve performance</v>
      </c>
      <c r="S59" s="39"/>
      <c r="T59" s="38" t="s">
        <v>80</v>
      </c>
      <c r="U59" s="2" t="s">
        <v>175</v>
      </c>
      <c r="V59" s="2" t="s">
        <v>148</v>
      </c>
      <c r="W59" s="2" t="s">
        <v>175</v>
      </c>
      <c r="X59" s="2"/>
    </row>
    <row r="60" spans="1:24" ht="65">
      <c r="A60" s="31">
        <v>104468</v>
      </c>
      <c r="B60" s="22" t="s">
        <v>293</v>
      </c>
      <c r="C60" s="32" t="s">
        <v>233</v>
      </c>
      <c r="D60" s="32" t="s">
        <v>233</v>
      </c>
      <c r="E60" s="32" t="s">
        <v>233</v>
      </c>
      <c r="F60" s="32" t="s">
        <v>86</v>
      </c>
      <c r="G60" s="33">
        <v>44830</v>
      </c>
      <c r="H60" s="32" t="s">
        <v>66</v>
      </c>
      <c r="I60" s="32" t="s">
        <v>207</v>
      </c>
      <c r="J60" s="22" t="s">
        <v>89</v>
      </c>
      <c r="K60" s="22" t="s">
        <v>68</v>
      </c>
      <c r="L60" s="22" t="s">
        <v>90</v>
      </c>
      <c r="M60" s="22" t="s">
        <v>90</v>
      </c>
      <c r="N60" s="30" cm="1">
        <f t="array" ref="N60">IF(OR(L60="",M60=""),"", IF(OR(ISNA(MATCH(L60,{"Low","Medium","High"},0)), ISNA(MATCH(M60,{"Low","Medium","High"},0))),"",_xlfn.SWITCH(L60,"Low",1,"Medium",2,"High",3) + 3 * _xlfn.SWITCH(M60,"Low",1,"Medium",2,"High",3) - 3))</f>
        <v>5</v>
      </c>
      <c r="O60" s="37" t="s">
        <v>25</v>
      </c>
      <c r="P60" s="22" t="str">
        <f>IFERROR(VLOOKUP(O60,'Excel Table (Do Not Format)'!A:D,2,FALSE),"")</f>
        <v>Core Talent [M,M]</v>
      </c>
      <c r="Q60" s="22" t="str">
        <f>IFERROR(VLOOKUP(O60,'Excel Table (Do Not Format)'!A:D,3,FALSE),"")</f>
        <v>identify performance barriers, explore portential to expand responsibilties in current role and discuss career aspirations (ideally for talent new in role)</v>
      </c>
      <c r="R60" s="22" t="str">
        <f>IFERROR(VLOOKUP(O60,'Excel Table (Do Not Format)'!A:D,4,FALSE),"")</f>
        <v xml:space="preserve">Develop in Role - Identify developmental activities to continue to grow their skill and set them up for success for anticiapted progression </v>
      </c>
      <c r="S60" s="39" t="s">
        <v>294</v>
      </c>
      <c r="T60" s="38" t="s">
        <v>80</v>
      </c>
      <c r="U60" s="2" t="s">
        <v>71</v>
      </c>
      <c r="V60" s="2" t="s">
        <v>72</v>
      </c>
      <c r="W60" s="2" t="s">
        <v>71</v>
      </c>
      <c r="X60" s="2"/>
    </row>
    <row r="61" spans="1:24" ht="52">
      <c r="A61" s="31">
        <v>106050</v>
      </c>
      <c r="B61" s="22" t="s">
        <v>295</v>
      </c>
      <c r="C61" s="32" t="s">
        <v>202</v>
      </c>
      <c r="D61" s="32" t="s">
        <v>116</v>
      </c>
      <c r="E61" s="32" t="s">
        <v>116</v>
      </c>
      <c r="F61" s="32" t="s">
        <v>117</v>
      </c>
      <c r="G61" s="33">
        <v>45726</v>
      </c>
      <c r="H61" s="32" t="s">
        <v>124</v>
      </c>
      <c r="I61" s="32" t="s">
        <v>296</v>
      </c>
      <c r="J61" s="22"/>
      <c r="K61" s="22"/>
      <c r="L61" s="22" t="s">
        <v>90</v>
      </c>
      <c r="M61" s="22" t="s">
        <v>90</v>
      </c>
      <c r="N61" s="30" cm="1">
        <f t="array" ref="N61">IF(OR(L61="",M61=""),"", IF(OR(ISNA(MATCH(L61,{"Low","Medium","High"},0)), ISNA(MATCH(M61,{"Low","Medium","High"},0))),"",_xlfn.SWITCH(L61,"Low",1,"Medium",2,"High",3) + 3 * _xlfn.SWITCH(M61,"Low",1,"Medium",2,"High",3) - 3))</f>
        <v>5</v>
      </c>
      <c r="O61" s="37" t="s">
        <v>25</v>
      </c>
      <c r="P61" s="22" t="str">
        <f>IFERROR(VLOOKUP(O61,'Excel Table (Do Not Format)'!A:D,2,FALSE),"")</f>
        <v>Core Talent [M,M]</v>
      </c>
      <c r="Q61" s="22" t="str">
        <f>IFERROR(VLOOKUP(O61,'Excel Table (Do Not Format)'!A:D,3,FALSE),"")</f>
        <v>identify performance barriers, explore portential to expand responsibilties in current role and discuss career aspirations (ideally for talent new in role)</v>
      </c>
      <c r="R61" s="22" t="str">
        <f>IFERROR(VLOOKUP(O61,'Excel Table (Do Not Format)'!A:D,4,FALSE),"")</f>
        <v xml:space="preserve">Develop in Role - Identify developmental activities to continue to grow their skill and set them up for success for anticiapted progression </v>
      </c>
      <c r="S61" s="39"/>
      <c r="T61" s="38"/>
      <c r="U61" s="2" t="s">
        <v>148</v>
      </c>
      <c r="V61" s="2" t="s">
        <v>148</v>
      </c>
      <c r="W61" s="2" t="s">
        <v>148</v>
      </c>
      <c r="X61" s="2"/>
    </row>
    <row r="62" spans="1:24" ht="65">
      <c r="A62" s="31">
        <v>1280</v>
      </c>
      <c r="B62" s="22" t="s">
        <v>297</v>
      </c>
      <c r="C62" s="32" t="s">
        <v>233</v>
      </c>
      <c r="D62" s="32" t="s">
        <v>233</v>
      </c>
      <c r="E62" s="32" t="s">
        <v>233</v>
      </c>
      <c r="F62" s="32" t="s">
        <v>86</v>
      </c>
      <c r="G62" s="33">
        <v>41715</v>
      </c>
      <c r="H62" s="32" t="s">
        <v>118</v>
      </c>
      <c r="I62" s="32" t="s">
        <v>159</v>
      </c>
      <c r="J62" s="22" t="s">
        <v>89</v>
      </c>
      <c r="K62" s="22" t="s">
        <v>68</v>
      </c>
      <c r="L62" s="22" t="s">
        <v>90</v>
      </c>
      <c r="M62" s="22" t="s">
        <v>90</v>
      </c>
      <c r="N62" s="30" cm="1">
        <f t="array" ref="N62">IF(OR(L62="",M62=""),"", IF(OR(ISNA(MATCH(L62,{"Low","Medium","High"},0)), ISNA(MATCH(M62,{"Low","Medium","High"},0))),"",_xlfn.SWITCH(L62,"Low",1,"Medium",2,"High",3) + 3 * _xlfn.SWITCH(M62,"Low",1,"Medium",2,"High",3) - 3))</f>
        <v>5</v>
      </c>
      <c r="O62" s="37" t="s">
        <v>25</v>
      </c>
      <c r="P62" s="22" t="str">
        <f>IFERROR(VLOOKUP(O62,'Excel Table (Do Not Format)'!A:D,2,FALSE),"")</f>
        <v>Core Talent [M,M]</v>
      </c>
      <c r="Q62" s="22" t="str">
        <f>IFERROR(VLOOKUP(O62,'Excel Table (Do Not Format)'!A:D,3,FALSE),"")</f>
        <v>identify performance barriers, explore portential to expand responsibilties in current role and discuss career aspirations (ideally for talent new in role)</v>
      </c>
      <c r="R62" s="22" t="str">
        <f>IFERROR(VLOOKUP(O62,'Excel Table (Do Not Format)'!A:D,4,FALSE),"")</f>
        <v xml:space="preserve">Develop in Role - Identify developmental activities to continue to grow their skill and set them up for success for anticiapted progression </v>
      </c>
      <c r="S62" s="39"/>
      <c r="T62" s="38" t="s">
        <v>80</v>
      </c>
      <c r="U62" s="2" t="s">
        <v>134</v>
      </c>
      <c r="V62" s="2" t="s">
        <v>72</v>
      </c>
      <c r="W62" s="2" t="s">
        <v>134</v>
      </c>
      <c r="X62" s="2"/>
    </row>
    <row r="63" spans="1:24" ht="52">
      <c r="A63" s="31">
        <v>104112</v>
      </c>
      <c r="B63" s="22" t="s">
        <v>298</v>
      </c>
      <c r="C63" s="32" t="s">
        <v>116</v>
      </c>
      <c r="D63" s="32" t="s">
        <v>116</v>
      </c>
      <c r="E63" s="32" t="s">
        <v>116</v>
      </c>
      <c r="F63" s="32" t="s">
        <v>117</v>
      </c>
      <c r="G63" s="33">
        <v>44760</v>
      </c>
      <c r="H63" s="32" t="s">
        <v>66</v>
      </c>
      <c r="I63" s="32" t="s">
        <v>207</v>
      </c>
      <c r="J63" s="22" t="s">
        <v>88</v>
      </c>
      <c r="K63" s="22" t="s">
        <v>89</v>
      </c>
      <c r="L63" s="22" t="s">
        <v>103</v>
      </c>
      <c r="M63" s="22" t="s">
        <v>90</v>
      </c>
      <c r="N63" s="30" cm="1">
        <f t="array" ref="N63">IF(OR(L63="",M63=""),"", IF(OR(ISNA(MATCH(L63,{"Low","Medium","High"},0)), ISNA(MATCH(M63,{"Low","Medium","High"},0))),"",_xlfn.SWITCH(L63,"Low",1,"Medium",2,"High",3) + 3 * _xlfn.SWITCH(M63,"Low",1,"Medium",2,"High",3) - 3))</f>
        <v>4</v>
      </c>
      <c r="O63" s="37" t="s">
        <v>25</v>
      </c>
      <c r="P63" s="22" t="str">
        <f>IFERROR(VLOOKUP(O63,'Excel Table (Do Not Format)'!A:D,2,FALSE),"")</f>
        <v>Core Talent [M,M]</v>
      </c>
      <c r="Q63" s="22" t="str">
        <f>IFERROR(VLOOKUP(O63,'Excel Table (Do Not Format)'!A:D,3,FALSE),"")</f>
        <v>identify performance barriers, explore portential to expand responsibilties in current role and discuss career aspirations (ideally for talent new in role)</v>
      </c>
      <c r="R63" s="22" t="str">
        <f>IFERROR(VLOOKUP(O63,'Excel Table (Do Not Format)'!A:D,4,FALSE),"")</f>
        <v xml:space="preserve">Develop in Role - Identify developmental activities to continue to grow their skill and set them up for success for anticiapted progression </v>
      </c>
      <c r="S63" s="39"/>
      <c r="T63" s="38" t="s">
        <v>80</v>
      </c>
      <c r="U63" s="2" t="s">
        <v>204</v>
      </c>
      <c r="V63" s="2" t="s">
        <v>72</v>
      </c>
      <c r="W63" s="2" t="s">
        <v>204</v>
      </c>
      <c r="X63" s="2"/>
    </row>
    <row r="64" spans="1:24" ht="65">
      <c r="A64" s="31">
        <v>100351</v>
      </c>
      <c r="B64" s="22" t="s">
        <v>299</v>
      </c>
      <c r="C64" s="32" t="s">
        <v>300</v>
      </c>
      <c r="D64" s="32" t="s">
        <v>300</v>
      </c>
      <c r="E64" s="32" t="s">
        <v>300</v>
      </c>
      <c r="F64" s="32" t="s">
        <v>86</v>
      </c>
      <c r="G64" s="33">
        <v>43500</v>
      </c>
      <c r="H64" s="32" t="s">
        <v>164</v>
      </c>
      <c r="I64" s="32" t="s">
        <v>223</v>
      </c>
      <c r="J64" s="22" t="s">
        <v>68</v>
      </c>
      <c r="K64" s="22" t="s">
        <v>89</v>
      </c>
      <c r="L64" s="22" t="s">
        <v>90</v>
      </c>
      <c r="M64" s="22" t="s">
        <v>90</v>
      </c>
      <c r="N64" s="30" cm="1">
        <f t="array" ref="N64">IF(OR(L64="",M64=""),"", IF(OR(ISNA(MATCH(L64,{"Low","Medium","High"},0)), ISNA(MATCH(M64,{"Low","Medium","High"},0))),"",_xlfn.SWITCH(L64,"Low",1,"Medium",2,"High",3) + 3 * _xlfn.SWITCH(M64,"Low",1,"Medium",2,"High",3) - 3))</f>
        <v>5</v>
      </c>
      <c r="O64" s="37" t="s">
        <v>28</v>
      </c>
      <c r="P64" s="22" t="str">
        <f>IFERROR(VLOOKUP(O64,'Excel Table (Do Not Format)'!A:D,2,FALSE),"")</f>
        <v>High Impact Talent [H,M]</v>
      </c>
      <c r="Q64" s="22" t="str">
        <f>IFERROR(VLOOKUP(O64,'Excel Table (Do Not Format)'!A:D,3,FALSE),"")</f>
        <v>expand responsibilities in current role, identify key experiences and increase executive exposure</v>
      </c>
      <c r="R64" s="22" t="str">
        <f>IFERROR(VLOOKUP(O64,'Excel Table (Do Not Format)'!A:D,4,FALSE),"")</f>
        <v xml:space="preserve">Differentially Invest - Ensure career discussions are happening regualrly? Do they have an individual development plan? What opportunities exist to accelerate development and growth? Revisit talent often to plan for next steps. </v>
      </c>
      <c r="S64" s="39"/>
      <c r="T64" s="38" t="s">
        <v>80</v>
      </c>
      <c r="U64" s="2" t="s">
        <v>134</v>
      </c>
      <c r="V64" s="2" t="s">
        <v>72</v>
      </c>
      <c r="W64" s="2" t="s">
        <v>134</v>
      </c>
      <c r="X64" s="2"/>
    </row>
    <row r="65" spans="1:24" ht="65">
      <c r="A65" s="31">
        <v>103391</v>
      </c>
      <c r="B65" s="22" t="s">
        <v>301</v>
      </c>
      <c r="C65" s="32" t="s">
        <v>302</v>
      </c>
      <c r="D65" s="32" t="s">
        <v>303</v>
      </c>
      <c r="E65" s="32" t="s">
        <v>303</v>
      </c>
      <c r="F65" s="32" t="s">
        <v>65</v>
      </c>
      <c r="G65" s="33">
        <v>45936</v>
      </c>
      <c r="H65" s="32" t="s">
        <v>77</v>
      </c>
      <c r="I65" s="32" t="s">
        <v>304</v>
      </c>
      <c r="J65" s="22"/>
      <c r="K65" s="22"/>
      <c r="L65" s="22"/>
      <c r="M65" s="22"/>
      <c r="N65" s="22"/>
      <c r="O65" s="37" t="s">
        <v>25</v>
      </c>
      <c r="P65" s="22" t="str">
        <f>IFERROR(VLOOKUP(O65,'Excel Table (Do Not Format)'!A:D,2,FALSE),"")</f>
        <v>Core Talent [M,M]</v>
      </c>
      <c r="Q65" s="22" t="str">
        <f>IFERROR(VLOOKUP(O65,'Excel Table (Do Not Format)'!A:D,3,FALSE),"")</f>
        <v>identify performance barriers, explore portential to expand responsibilties in current role and discuss career aspirations (ideally for talent new in role)</v>
      </c>
      <c r="R65" s="22" t="str">
        <f>IFERROR(VLOOKUP(O65,'Excel Table (Do Not Format)'!A:D,4,FALSE),"")</f>
        <v xml:space="preserve">Develop in Role - Identify developmental activities to continue to grow their skill and set them up for success for anticiapted progression </v>
      </c>
      <c r="S65" s="39"/>
      <c r="T65" s="38" t="s">
        <v>80</v>
      </c>
      <c r="U65" s="2" t="s">
        <v>175</v>
      </c>
      <c r="V65" s="2" t="s">
        <v>148</v>
      </c>
      <c r="W65" s="2" t="s">
        <v>175</v>
      </c>
      <c r="X65" s="2"/>
    </row>
    <row r="66" spans="1:24" ht="52">
      <c r="A66" s="31">
        <v>103463</v>
      </c>
      <c r="B66" s="22" t="s">
        <v>305</v>
      </c>
      <c r="C66" s="32" t="s">
        <v>306</v>
      </c>
      <c r="D66" s="32" t="s">
        <v>306</v>
      </c>
      <c r="E66" s="32" t="s">
        <v>306</v>
      </c>
      <c r="F66" s="32" t="s">
        <v>163</v>
      </c>
      <c r="G66" s="33">
        <v>44607</v>
      </c>
      <c r="H66" s="32" t="s">
        <v>66</v>
      </c>
      <c r="I66" s="32" t="s">
        <v>223</v>
      </c>
      <c r="J66" s="22" t="s">
        <v>68</v>
      </c>
      <c r="K66" s="22" t="s">
        <v>89</v>
      </c>
      <c r="L66" s="22" t="s">
        <v>90</v>
      </c>
      <c r="M66" s="22" t="s">
        <v>103</v>
      </c>
      <c r="N66" s="30" cm="1">
        <f t="array" ref="N66">IF(OR(L66="",M66=""),"", IF(OR(ISNA(MATCH(L66,{"Low","Medium","High"},0)), ISNA(MATCH(M66,{"Low","Medium","High"},0))),"",_xlfn.SWITCH(L66,"Low",1,"Medium",2,"High",3) + 3 * _xlfn.SWITCH(M66,"Low",1,"Medium",2,"High",3) - 3))</f>
        <v>2</v>
      </c>
      <c r="O66" s="37" t="s">
        <v>25</v>
      </c>
      <c r="P66" s="22" t="str">
        <f>IFERROR(VLOOKUP(O66,'Excel Table (Do Not Format)'!A:D,2,FALSE),"")</f>
        <v>Core Talent [M,M]</v>
      </c>
      <c r="Q66" s="22" t="str">
        <f>IFERROR(VLOOKUP(O66,'Excel Table (Do Not Format)'!A:D,3,FALSE),"")</f>
        <v>identify performance barriers, explore portential to expand responsibilties in current role and discuss career aspirations (ideally for talent new in role)</v>
      </c>
      <c r="R66" s="22" t="str">
        <f>IFERROR(VLOOKUP(O66,'Excel Table (Do Not Format)'!A:D,4,FALSE),"")</f>
        <v xml:space="preserve">Develop in Role - Identify developmental activities to continue to grow their skill and set them up for success for anticiapted progression </v>
      </c>
      <c r="S66" s="44" t="s">
        <v>258</v>
      </c>
      <c r="T66" s="38" t="s">
        <v>80</v>
      </c>
      <c r="U66" s="2" t="s">
        <v>133</v>
      </c>
      <c r="V66" s="2" t="s">
        <v>72</v>
      </c>
      <c r="W66" s="2" t="s">
        <v>134</v>
      </c>
      <c r="X66" s="2"/>
    </row>
    <row r="67" spans="1:24" ht="78">
      <c r="A67" s="31">
        <v>105665</v>
      </c>
      <c r="B67" s="22" t="s">
        <v>307</v>
      </c>
      <c r="C67" s="32" t="s">
        <v>308</v>
      </c>
      <c r="D67" s="32" t="s">
        <v>309</v>
      </c>
      <c r="E67" s="32" t="s">
        <v>309</v>
      </c>
      <c r="F67" s="32" t="s">
        <v>86</v>
      </c>
      <c r="G67" s="33">
        <v>45579</v>
      </c>
      <c r="H67" s="32" t="s">
        <v>186</v>
      </c>
      <c r="I67" s="32" t="s">
        <v>310</v>
      </c>
      <c r="J67" s="22"/>
      <c r="K67" s="22"/>
      <c r="L67" s="22" t="s">
        <v>90</v>
      </c>
      <c r="M67" s="22" t="s">
        <v>90</v>
      </c>
      <c r="N67" s="30" cm="1">
        <f t="array" ref="N67">IF(OR(L67="",M67=""),"", IF(OR(ISNA(MATCH(L67,{"Low","Medium","High"},0)), ISNA(MATCH(M67,{"Low","Medium","High"},0))),"",_xlfn.SWITCH(L67,"Low",1,"Medium",2,"High",3) + 3 * _xlfn.SWITCH(M67,"Low",1,"Medium",2,"High",3) - 3))</f>
        <v>5</v>
      </c>
      <c r="O67" s="37" t="s">
        <v>25</v>
      </c>
      <c r="P67" s="22" t="str">
        <f>IFERROR(VLOOKUP(O67,'Excel Table (Do Not Format)'!A:D,2,FALSE),"")</f>
        <v>Core Talent [M,M]</v>
      </c>
      <c r="Q67" s="22" t="str">
        <f>IFERROR(VLOOKUP(O67,'Excel Table (Do Not Format)'!A:D,3,FALSE),"")</f>
        <v>identify performance barriers, explore portential to expand responsibilties in current role and discuss career aspirations (ideally for talent new in role)</v>
      </c>
      <c r="R67" s="22" t="str">
        <f>IFERROR(VLOOKUP(O67,'Excel Table (Do Not Format)'!A:D,4,FALSE),"")</f>
        <v xml:space="preserve">Develop in Role - Identify developmental activities to continue to grow their skill and set them up for success for anticiapted progression </v>
      </c>
      <c r="S67" s="48" t="s">
        <v>311</v>
      </c>
      <c r="T67" s="38" t="s">
        <v>80</v>
      </c>
      <c r="U67" s="2" t="s">
        <v>225</v>
      </c>
      <c r="V67" s="2" t="s">
        <v>82</v>
      </c>
      <c r="W67" s="2" t="s">
        <v>109</v>
      </c>
      <c r="X67" s="2" t="s">
        <v>225</v>
      </c>
    </row>
    <row r="68" spans="1:24" ht="65">
      <c r="A68" s="31">
        <v>101555</v>
      </c>
      <c r="B68" s="22" t="s">
        <v>312</v>
      </c>
      <c r="C68" s="32" t="s">
        <v>154</v>
      </c>
      <c r="D68" s="32" t="s">
        <v>288</v>
      </c>
      <c r="E68" s="32" t="s">
        <v>288</v>
      </c>
      <c r="F68" s="32" t="s">
        <v>76</v>
      </c>
      <c r="G68" s="33">
        <v>44683</v>
      </c>
      <c r="H68" s="32" t="s">
        <v>66</v>
      </c>
      <c r="I68" s="32" t="s">
        <v>165</v>
      </c>
      <c r="J68" s="22" t="s">
        <v>88</v>
      </c>
      <c r="K68" s="22" t="s">
        <v>89</v>
      </c>
      <c r="L68" s="22" t="s">
        <v>69</v>
      </c>
      <c r="M68" s="22" t="s">
        <v>90</v>
      </c>
      <c r="N68" s="30" cm="1">
        <f t="array" ref="N68">IF(OR(L68="",M68=""),"", IF(OR(ISNA(MATCH(L68,{"Low","Medium","High"},0)), ISNA(MATCH(M68,{"Low","Medium","High"},0))),"",_xlfn.SWITCH(L68,"Low",1,"Medium",2,"High",3) + 3 * _xlfn.SWITCH(M68,"Low",1,"Medium",2,"High",3) - 3))</f>
        <v>6</v>
      </c>
      <c r="O68" s="37" t="s">
        <v>28</v>
      </c>
      <c r="P68" s="22" t="str">
        <f>IFERROR(VLOOKUP(O68,'Excel Table (Do Not Format)'!A:D,2,FALSE),"")</f>
        <v>High Impact Talent [H,M]</v>
      </c>
      <c r="Q68" s="22" t="str">
        <f>IFERROR(VLOOKUP(O68,'Excel Table (Do Not Format)'!A:D,3,FALSE),"")</f>
        <v>expand responsibilities in current role, identify key experiences and increase executive exposure</v>
      </c>
      <c r="R68" s="22" t="str">
        <f>IFERROR(VLOOKUP(O68,'Excel Table (Do Not Format)'!A:D,4,FALSE),"")</f>
        <v xml:space="preserve">Differentially Invest - Ensure career discussions are happening regualrly? Do they have an individual development plan? What opportunities exist to accelerate development and growth? Revisit talent often to plan for next steps. </v>
      </c>
      <c r="S68" s="39"/>
      <c r="T68" s="38"/>
      <c r="U68" s="2" t="s">
        <v>152</v>
      </c>
      <c r="V68" s="2" t="s">
        <v>148</v>
      </c>
      <c r="W68" s="2" t="s">
        <v>152</v>
      </c>
      <c r="X68" s="2"/>
    </row>
    <row r="69" spans="1:24" ht="65">
      <c r="A69" s="31">
        <v>101721</v>
      </c>
      <c r="B69" s="22" t="s">
        <v>313</v>
      </c>
      <c r="C69" s="32" t="s">
        <v>154</v>
      </c>
      <c r="D69" s="32" t="s">
        <v>154</v>
      </c>
      <c r="E69" s="32" t="s">
        <v>173</v>
      </c>
      <c r="F69" s="32" t="s">
        <v>76</v>
      </c>
      <c r="G69" s="33">
        <v>44277</v>
      </c>
      <c r="H69" s="32" t="s">
        <v>66</v>
      </c>
      <c r="I69" s="32" t="s">
        <v>314</v>
      </c>
      <c r="J69" s="22" t="s">
        <v>89</v>
      </c>
      <c r="K69" s="22" t="s">
        <v>68</v>
      </c>
      <c r="L69" s="22" t="s">
        <v>90</v>
      </c>
      <c r="M69" s="22" t="s">
        <v>69</v>
      </c>
      <c r="N69" s="30" cm="1">
        <f t="array" ref="N69">IF(OR(L69="",M69=""),"", IF(OR(ISNA(MATCH(L69,{"Low","Medium","High"},0)), ISNA(MATCH(M69,{"Low","Medium","High"},0))),"",_xlfn.SWITCH(L69,"Low",1,"Medium",2,"High",3) + 3 * _xlfn.SWITCH(M69,"Low",1,"Medium",2,"High",3) - 3))</f>
        <v>8</v>
      </c>
      <c r="O69" s="37" t="s">
        <v>39</v>
      </c>
      <c r="P69" s="22" t="str">
        <f>IFERROR(VLOOKUP(O69,'Excel Table (Do Not Format)'!A:D,2,FALSE),"")</f>
        <v>Top Talent [H,H]</v>
      </c>
      <c r="Q69" s="22" t="str">
        <f>IFERROR(VLOOKUP(O69,'Excel Table (Do Not Format)'!A:D,3,FALSE),"")</f>
        <v xml:space="preserve">identify stretch experiences or temporary assignments, increase executive exposure </v>
      </c>
      <c r="R69" s="22" t="str">
        <f>IFERROR(VLOOKUP(O69,'Excel Table (Do Not Format)'!A:D,4,FALSE),"")</f>
        <v xml:space="preserve">Differentially Invest - Ensure career discussions are happening regualrly? Do they have an individual development plan? What opportunities exist to accelerate development and growth? Revisit talent often to plan for next steps. </v>
      </c>
      <c r="S69" s="47" t="s">
        <v>315</v>
      </c>
      <c r="T69" s="38" t="s">
        <v>92</v>
      </c>
      <c r="U69" s="2" t="s">
        <v>71</v>
      </c>
      <c r="V69" s="2" t="s">
        <v>72</v>
      </c>
      <c r="W69" s="2" t="s">
        <v>71</v>
      </c>
      <c r="X69" s="2"/>
    </row>
    <row r="70" spans="1:24" ht="50">
      <c r="A70" s="31">
        <v>105334</v>
      </c>
      <c r="B70" s="22" t="s">
        <v>316</v>
      </c>
      <c r="C70" s="32" t="s">
        <v>284</v>
      </c>
      <c r="D70" s="32" t="s">
        <v>228</v>
      </c>
      <c r="E70" s="32" t="s">
        <v>228</v>
      </c>
      <c r="F70" s="32" t="s">
        <v>117</v>
      </c>
      <c r="G70" s="33">
        <v>45446</v>
      </c>
      <c r="H70" s="32" t="s">
        <v>186</v>
      </c>
      <c r="I70" s="32" t="s">
        <v>317</v>
      </c>
      <c r="J70" s="22"/>
      <c r="K70" s="22" t="s">
        <v>88</v>
      </c>
      <c r="L70" s="22" t="s">
        <v>90</v>
      </c>
      <c r="M70" s="22" t="s">
        <v>69</v>
      </c>
      <c r="N70" s="30" cm="1">
        <f t="array" ref="N70">IF(OR(L70="",M70=""),"", IF(OR(ISNA(MATCH(L70,{"Low","Medium","High"},0)), ISNA(MATCH(M70,{"Low","Medium","High"},0))),"",_xlfn.SWITCH(L70,"Low",1,"Medium",2,"High",3) + 3 * _xlfn.SWITCH(M70,"Low",1,"Medium",2,"High",3) - 3))</f>
        <v>8</v>
      </c>
      <c r="O70" s="37" t="s">
        <v>36</v>
      </c>
      <c r="P70" s="22" t="str">
        <f>IFERROR(VLOOKUP(O70,'Excel Table (Do Not Format)'!A:D,2,FALSE),"")</f>
        <v>Growth Talent [M,H]</v>
      </c>
      <c r="Q70" s="22" t="str">
        <f>IFERROR(VLOOKUP(O70,'Excel Table (Do Not Format)'!A:D,3,FALSE),"")</f>
        <v xml:space="preserve">identify performance barriers, explore portential to expand responsibilties in current role </v>
      </c>
      <c r="R70" s="22" t="str">
        <f>IFERROR(VLOOKUP(O70,'Excel Table (Do Not Format)'!A:D,4,FALSE),"")</f>
        <v xml:space="preserve">Differentially Invest - Ensure career discussions are happening regualrly? Do they have an individual development plan? What opportunities exist to accelerate development and growth? Revisit talent often to plan for next steps. </v>
      </c>
      <c r="S70" s="45" t="s">
        <v>318</v>
      </c>
      <c r="T70" s="38" t="s">
        <v>92</v>
      </c>
      <c r="U70" s="2" t="s">
        <v>81</v>
      </c>
      <c r="V70" s="2" t="s">
        <v>82</v>
      </c>
      <c r="W70" s="2" t="s">
        <v>81</v>
      </c>
      <c r="X70" s="2"/>
    </row>
    <row r="71" spans="1:24" ht="78">
      <c r="A71" s="31">
        <v>103289</v>
      </c>
      <c r="B71" s="22" t="s">
        <v>319</v>
      </c>
      <c r="C71" s="32" t="s">
        <v>320</v>
      </c>
      <c r="D71" s="32" t="s">
        <v>171</v>
      </c>
      <c r="E71" s="32" t="s">
        <v>171</v>
      </c>
      <c r="F71" s="32" t="s">
        <v>76</v>
      </c>
      <c r="G71" s="33">
        <v>44599</v>
      </c>
      <c r="H71" s="32" t="s">
        <v>66</v>
      </c>
      <c r="I71" s="32" t="s">
        <v>181</v>
      </c>
      <c r="J71" s="22" t="s">
        <v>89</v>
      </c>
      <c r="K71" s="22" t="s">
        <v>68</v>
      </c>
      <c r="L71" s="22" t="s">
        <v>90</v>
      </c>
      <c r="M71" s="22" t="s">
        <v>90</v>
      </c>
      <c r="N71" s="30" cm="1">
        <f t="array" ref="N71">IF(OR(L71="",M71=""),"", IF(OR(ISNA(MATCH(L71,{"Low","Medium","High"},0)), ISNA(MATCH(M71,{"Low","Medium","High"},0))),"",_xlfn.SWITCH(L71,"Low",1,"Medium",2,"High",3) + 3 * _xlfn.SWITCH(M71,"Low",1,"Medium",2,"High",3) - 3))</f>
        <v>5</v>
      </c>
      <c r="O71" s="37" t="s">
        <v>25</v>
      </c>
      <c r="P71" s="22" t="str">
        <f>IFERROR(VLOOKUP(O71,'Excel Table (Do Not Format)'!A:D,2,FALSE),"")</f>
        <v>Core Talent [M,M]</v>
      </c>
      <c r="Q71" s="22" t="str">
        <f>IFERROR(VLOOKUP(O71,'Excel Table (Do Not Format)'!A:D,3,FALSE),"")</f>
        <v>identify performance barriers, explore portential to expand responsibilties in current role and discuss career aspirations (ideally for talent new in role)</v>
      </c>
      <c r="R71" s="22" t="str">
        <f>IFERROR(VLOOKUP(O71,'Excel Table (Do Not Format)'!A:D,4,FALSE),"")</f>
        <v xml:space="preserve">Develop in Role - Identify developmental activities to continue to grow their skill and set them up for success for anticiapted progression </v>
      </c>
      <c r="S71" s="39"/>
      <c r="T71" s="38"/>
      <c r="U71" s="2" t="s">
        <v>140</v>
      </c>
      <c r="V71" s="2" t="s">
        <v>82</v>
      </c>
      <c r="W71" s="2" t="s">
        <v>109</v>
      </c>
      <c r="X71" s="2" t="s">
        <v>140</v>
      </c>
    </row>
    <row r="72" spans="1:24" ht="52">
      <c r="A72" s="31">
        <v>106360</v>
      </c>
      <c r="B72" s="22" t="s">
        <v>321</v>
      </c>
      <c r="C72" s="32" t="s">
        <v>240</v>
      </c>
      <c r="D72" s="32" t="s">
        <v>162</v>
      </c>
      <c r="E72" s="32" t="s">
        <v>162</v>
      </c>
      <c r="F72" s="32" t="s">
        <v>163</v>
      </c>
      <c r="G72" s="33">
        <v>45943</v>
      </c>
      <c r="H72" s="32" t="s">
        <v>77</v>
      </c>
      <c r="I72" s="32" t="s">
        <v>241</v>
      </c>
      <c r="J72" s="22"/>
      <c r="K72" s="22"/>
      <c r="L72" s="22"/>
      <c r="M72" s="22"/>
      <c r="N72" s="22"/>
      <c r="O72" s="37" t="s">
        <v>25</v>
      </c>
      <c r="P72" s="22" t="str">
        <f>IFERROR(VLOOKUP(O72,'Excel Table (Do Not Format)'!A:D,2,FALSE),"")</f>
        <v>Core Talent [M,M]</v>
      </c>
      <c r="Q72" s="22" t="str">
        <f>IFERROR(VLOOKUP(O72,'Excel Table (Do Not Format)'!A:D,3,FALSE),"")</f>
        <v>identify performance barriers, explore portential to expand responsibilties in current role and discuss career aspirations (ideally for talent new in role)</v>
      </c>
      <c r="R72" s="22" t="str">
        <f>IFERROR(VLOOKUP(O72,'Excel Table (Do Not Format)'!A:D,4,FALSE),"")</f>
        <v xml:space="preserve">Develop in Role - Identify developmental activities to continue to grow their skill and set them up for success for anticiapted progression </v>
      </c>
      <c r="S72" s="39"/>
      <c r="T72" s="38"/>
      <c r="U72" s="2" t="s">
        <v>148</v>
      </c>
      <c r="V72" s="2" t="s">
        <v>148</v>
      </c>
      <c r="W72" s="2"/>
      <c r="X72" s="2"/>
    </row>
    <row r="73" spans="1:24" ht="52">
      <c r="A73" s="31">
        <v>102873</v>
      </c>
      <c r="B73" s="22" t="s">
        <v>322</v>
      </c>
      <c r="C73" s="32" t="s">
        <v>323</v>
      </c>
      <c r="D73" s="32" t="s">
        <v>261</v>
      </c>
      <c r="E73" s="32" t="s">
        <v>261</v>
      </c>
      <c r="F73" s="32" t="s">
        <v>86</v>
      </c>
      <c r="G73" s="33">
        <v>44529</v>
      </c>
      <c r="H73" s="32" t="s">
        <v>66</v>
      </c>
      <c r="I73" s="32" t="s">
        <v>159</v>
      </c>
      <c r="J73" s="22" t="s">
        <v>68</v>
      </c>
      <c r="K73" s="22" t="s">
        <v>89</v>
      </c>
      <c r="L73" s="22" t="s">
        <v>69</v>
      </c>
      <c r="M73" s="22" t="s">
        <v>90</v>
      </c>
      <c r="N73" s="30" cm="1">
        <f t="array" ref="N73">IF(OR(L73="",M73=""),"", IF(OR(ISNA(MATCH(L73,{"Low","Medium","High"},0)), ISNA(MATCH(M73,{"Low","Medium","High"},0))),"",_xlfn.SWITCH(L73,"Low",1,"Medium",2,"High",3) + 3 * _xlfn.SWITCH(M73,"Low",1,"Medium",2,"High",3) - 3))</f>
        <v>6</v>
      </c>
      <c r="O73" s="37" t="s">
        <v>28</v>
      </c>
      <c r="P73" s="22" t="str">
        <f>IFERROR(VLOOKUP(O73,'Excel Table (Do Not Format)'!A:D,2,FALSE),"")</f>
        <v>High Impact Talent [H,M]</v>
      </c>
      <c r="Q73" s="22" t="str">
        <f>IFERROR(VLOOKUP(O73,'Excel Table (Do Not Format)'!A:D,3,FALSE),"")</f>
        <v>expand responsibilities in current role, identify key experiences and increase executive exposure</v>
      </c>
      <c r="R73" s="22" t="str">
        <f>IFERROR(VLOOKUP(O73,'Excel Table (Do Not Format)'!A:D,4,FALSE),"")</f>
        <v xml:space="preserve">Differentially Invest - Ensure career discussions are happening regualrly? Do they have an individual development plan? What opportunities exist to accelerate development and growth? Revisit talent often to plan for next steps. </v>
      </c>
      <c r="S73" s="39"/>
      <c r="T73" s="38" t="s">
        <v>80</v>
      </c>
      <c r="U73" s="2" t="s">
        <v>145</v>
      </c>
      <c r="V73" s="2" t="s">
        <v>82</v>
      </c>
      <c r="W73" s="2" t="s">
        <v>145</v>
      </c>
      <c r="X73" s="2"/>
    </row>
    <row r="74" spans="1:24" ht="65">
      <c r="A74" s="31">
        <v>102695</v>
      </c>
      <c r="B74" s="22" t="s">
        <v>324</v>
      </c>
      <c r="C74" s="32" t="s">
        <v>154</v>
      </c>
      <c r="D74" s="32" t="s">
        <v>155</v>
      </c>
      <c r="E74" s="32" t="s">
        <v>155</v>
      </c>
      <c r="F74" s="32" t="s">
        <v>76</v>
      </c>
      <c r="G74" s="33">
        <v>44476</v>
      </c>
      <c r="H74" s="32" t="s">
        <v>164</v>
      </c>
      <c r="I74" s="32" t="s">
        <v>325</v>
      </c>
      <c r="J74" s="22" t="s">
        <v>89</v>
      </c>
      <c r="K74" s="22" t="s">
        <v>89</v>
      </c>
      <c r="L74" s="22" t="s">
        <v>90</v>
      </c>
      <c r="M74" s="22" t="s">
        <v>69</v>
      </c>
      <c r="N74" s="30" cm="1">
        <f t="array" ref="N74">IF(OR(L74="",M74=""),"", IF(OR(ISNA(MATCH(L74,{"Low","Medium","High"},0)), ISNA(MATCH(M74,{"Low","Medium","High"},0))),"",_xlfn.SWITCH(L74,"Low",1,"Medium",2,"High",3) + 3 * _xlfn.SWITCH(M74,"Low",1,"Medium",2,"High",3) - 3))</f>
        <v>8</v>
      </c>
      <c r="O74" s="37" t="s">
        <v>36</v>
      </c>
      <c r="P74" s="22" t="str">
        <f>IFERROR(VLOOKUP(O74,'Excel Table (Do Not Format)'!A:D,2,FALSE),"")</f>
        <v>Growth Talent [M,H]</v>
      </c>
      <c r="Q74" s="22" t="str">
        <f>IFERROR(VLOOKUP(O74,'Excel Table (Do Not Format)'!A:D,3,FALSE),"")</f>
        <v xml:space="preserve">identify performance barriers, explore portential to expand responsibilties in current role </v>
      </c>
      <c r="R74" s="22" t="str">
        <f>IFERROR(VLOOKUP(O74,'Excel Table (Do Not Format)'!A:D,4,FALSE),"")</f>
        <v xml:space="preserve">Differentially Invest - Ensure career discussions are happening regualrly? Do they have an individual development plan? What opportunities exist to accelerate development and growth? Revisit talent often to plan for next steps. </v>
      </c>
      <c r="S74" s="39"/>
      <c r="T74" s="38"/>
      <c r="U74" s="2" t="s">
        <v>157</v>
      </c>
      <c r="V74" s="2" t="s">
        <v>148</v>
      </c>
      <c r="W74" s="2" t="s">
        <v>157</v>
      </c>
      <c r="X74" s="2"/>
    </row>
    <row r="75" spans="1:24" ht="65">
      <c r="A75" s="31">
        <v>105983</v>
      </c>
      <c r="B75" s="22" t="s">
        <v>326</v>
      </c>
      <c r="C75" s="32" t="s">
        <v>215</v>
      </c>
      <c r="D75" s="32" t="s">
        <v>216</v>
      </c>
      <c r="E75" s="32" t="s">
        <v>216</v>
      </c>
      <c r="F75" s="32" t="s">
        <v>117</v>
      </c>
      <c r="G75" s="33">
        <v>45698</v>
      </c>
      <c r="H75" s="32" t="s">
        <v>124</v>
      </c>
      <c r="I75" s="32" t="s">
        <v>125</v>
      </c>
      <c r="J75" s="22"/>
      <c r="K75" s="22"/>
      <c r="L75" s="22" t="s">
        <v>90</v>
      </c>
      <c r="M75" s="22" t="s">
        <v>90</v>
      </c>
      <c r="N75" s="30" cm="1">
        <f t="array" ref="N75">IF(OR(L75="",M75=""),"", IF(OR(ISNA(MATCH(L75,{"Low","Medium","High"},0)), ISNA(MATCH(M75,{"Low","Medium","High"},0))),"",_xlfn.SWITCH(L75,"Low",1,"Medium",2,"High",3) + 3 * _xlfn.SWITCH(M75,"Low",1,"Medium",2,"High",3) - 3))</f>
        <v>5</v>
      </c>
      <c r="O75" s="37" t="s">
        <v>25</v>
      </c>
      <c r="P75" s="22" t="str">
        <f>IFERROR(VLOOKUP(O75,'Excel Table (Do Not Format)'!A:D,2,FALSE),"")</f>
        <v>Core Talent [M,M]</v>
      </c>
      <c r="Q75" s="22" t="str">
        <f>IFERROR(VLOOKUP(O75,'Excel Table (Do Not Format)'!A:D,3,FALSE),"")</f>
        <v>identify performance barriers, explore portential to expand responsibilties in current role and discuss career aspirations (ideally for talent new in role)</v>
      </c>
      <c r="R75" s="22" t="str">
        <f>IFERROR(VLOOKUP(O75,'Excel Table (Do Not Format)'!A:D,4,FALSE),"")</f>
        <v xml:space="preserve">Develop in Role - Identify developmental activities to continue to grow their skill and set them up for success for anticiapted progression </v>
      </c>
      <c r="S75" s="39"/>
      <c r="T75" s="38"/>
      <c r="U75" s="2" t="s">
        <v>140</v>
      </c>
      <c r="V75" s="2" t="s">
        <v>82</v>
      </c>
      <c r="W75" s="2" t="s">
        <v>109</v>
      </c>
      <c r="X75" s="2" t="s">
        <v>140</v>
      </c>
    </row>
    <row r="76" spans="1:24" ht="52">
      <c r="A76" s="31">
        <v>106119</v>
      </c>
      <c r="B76" s="22" t="s">
        <v>327</v>
      </c>
      <c r="C76" s="32" t="s">
        <v>202</v>
      </c>
      <c r="D76" s="32" t="s">
        <v>328</v>
      </c>
      <c r="E76" s="32" t="s">
        <v>328</v>
      </c>
      <c r="F76" s="32" t="s">
        <v>117</v>
      </c>
      <c r="G76" s="33">
        <v>45761</v>
      </c>
      <c r="H76" s="32" t="s">
        <v>124</v>
      </c>
      <c r="I76" s="32" t="s">
        <v>329</v>
      </c>
      <c r="J76" s="22"/>
      <c r="K76" s="22"/>
      <c r="L76" s="22" t="s">
        <v>90</v>
      </c>
      <c r="M76" s="22" t="s">
        <v>69</v>
      </c>
      <c r="N76" s="30" cm="1">
        <f t="array" ref="N76">IF(OR(L76="",M76=""),"", IF(OR(ISNA(MATCH(L76,{"Low","Medium","High"},0)), ISNA(MATCH(M76,{"Low","Medium","High"},0))),"",_xlfn.SWITCH(L76,"Low",1,"Medium",2,"High",3) + 3 * _xlfn.SWITCH(M76,"Low",1,"Medium",2,"High",3) - 3))</f>
        <v>8</v>
      </c>
      <c r="O76" s="37" t="s">
        <v>39</v>
      </c>
      <c r="P76" s="22" t="str">
        <f>IFERROR(VLOOKUP(O76,'Excel Table (Do Not Format)'!A:D,2,FALSE),"")</f>
        <v>Top Talent [H,H]</v>
      </c>
      <c r="Q76" s="22" t="str">
        <f>IFERROR(VLOOKUP(O76,'Excel Table (Do Not Format)'!A:D,3,FALSE),"")</f>
        <v xml:space="preserve">identify stretch experiences or temporary assignments, increase executive exposure </v>
      </c>
      <c r="R76" s="22" t="str">
        <f>IFERROR(VLOOKUP(O76,'Excel Table (Do Not Format)'!A:D,4,FALSE),"")</f>
        <v xml:space="preserve">Differentially Invest - Ensure career discussions are happening regualrly? Do they have an individual development plan? What opportunities exist to accelerate development and growth? Revisit talent often to plan for next steps. </v>
      </c>
      <c r="S76" s="39"/>
      <c r="T76" s="38" t="s">
        <v>92</v>
      </c>
      <c r="U76" s="2" t="s">
        <v>152</v>
      </c>
      <c r="V76" s="2" t="s">
        <v>148</v>
      </c>
      <c r="W76" s="2" t="s">
        <v>152</v>
      </c>
      <c r="X76" s="2"/>
    </row>
    <row r="77" spans="1:24" ht="65">
      <c r="A77" s="31">
        <v>1580</v>
      </c>
      <c r="B77" s="22" t="s">
        <v>330</v>
      </c>
      <c r="C77" s="32" t="s">
        <v>331</v>
      </c>
      <c r="D77" s="32" t="s">
        <v>331</v>
      </c>
      <c r="E77" s="32" t="s">
        <v>233</v>
      </c>
      <c r="F77" s="32" t="s">
        <v>86</v>
      </c>
      <c r="G77" s="33">
        <v>42443</v>
      </c>
      <c r="H77" s="32" t="s">
        <v>164</v>
      </c>
      <c r="I77" s="32" t="s">
        <v>332</v>
      </c>
      <c r="J77" s="22" t="s">
        <v>89</v>
      </c>
      <c r="K77" s="22" t="s">
        <v>89</v>
      </c>
      <c r="L77" s="22" t="s">
        <v>90</v>
      </c>
      <c r="M77" s="22" t="s">
        <v>90</v>
      </c>
      <c r="N77" s="30" cm="1">
        <f t="array" ref="N77">IF(OR(L77="",M77=""),"", IF(OR(ISNA(MATCH(L77,{"Low","Medium","High"},0)), ISNA(MATCH(M77,{"Low","Medium","High"},0))),"",_xlfn.SWITCH(L77,"Low",1,"Medium",2,"High",3) + 3 * _xlfn.SWITCH(M77,"Low",1,"Medium",2,"High",3) - 3))</f>
        <v>5</v>
      </c>
      <c r="O77" s="37" t="s">
        <v>36</v>
      </c>
      <c r="P77" s="22" t="str">
        <f>IFERROR(VLOOKUP(O77,'Excel Table (Do Not Format)'!A:D,2,FALSE),"")</f>
        <v>Growth Talent [M,H]</v>
      </c>
      <c r="Q77" s="22" t="str">
        <f>IFERROR(VLOOKUP(O77,'Excel Table (Do Not Format)'!A:D,3,FALSE),"")</f>
        <v xml:space="preserve">identify performance barriers, explore portential to expand responsibilties in current role </v>
      </c>
      <c r="R77" s="22" t="str">
        <f>IFERROR(VLOOKUP(O77,'Excel Table (Do Not Format)'!A:D,4,FALSE),"")</f>
        <v xml:space="preserve">Differentially Invest - Ensure career discussions are happening regualrly? Do they have an individual development plan? What opportunities exist to accelerate development and growth? Revisit talent often to plan for next steps. </v>
      </c>
      <c r="S77" s="42" t="s">
        <v>333</v>
      </c>
      <c r="T77" s="38" t="s">
        <v>80</v>
      </c>
      <c r="U77" s="2" t="s">
        <v>134</v>
      </c>
      <c r="V77" s="2" t="s">
        <v>72</v>
      </c>
      <c r="W77" s="2" t="s">
        <v>134</v>
      </c>
      <c r="X77" s="2"/>
    </row>
    <row r="78" spans="1:24" ht="52">
      <c r="A78" s="31">
        <v>106106</v>
      </c>
      <c r="B78" s="22" t="s">
        <v>334</v>
      </c>
      <c r="C78" s="32" t="s">
        <v>335</v>
      </c>
      <c r="D78" s="32" t="s">
        <v>336</v>
      </c>
      <c r="E78" s="32" t="s">
        <v>336</v>
      </c>
      <c r="F78" s="32" t="s">
        <v>86</v>
      </c>
      <c r="G78" s="33">
        <v>45754</v>
      </c>
      <c r="H78" s="32" t="s">
        <v>124</v>
      </c>
      <c r="I78" s="32" t="s">
        <v>337</v>
      </c>
      <c r="J78" s="22"/>
      <c r="K78" s="22"/>
      <c r="L78" s="22" t="s">
        <v>90</v>
      </c>
      <c r="M78" s="22" t="s">
        <v>90</v>
      </c>
      <c r="N78" s="30" cm="1">
        <f t="array" ref="N78">IF(OR(L78="",M78=""),"", IF(OR(ISNA(MATCH(L78,{"Low","Medium","High"},0)), ISNA(MATCH(M78,{"Low","Medium","High"},0))),"",_xlfn.SWITCH(L78,"Low",1,"Medium",2,"High",3) + 3 * _xlfn.SWITCH(M78,"Low",1,"Medium",2,"High",3) - 3))</f>
        <v>5</v>
      </c>
      <c r="O78" s="37" t="s">
        <v>25</v>
      </c>
      <c r="P78" s="22" t="str">
        <f>IFERROR(VLOOKUP(O78,'Excel Table (Do Not Format)'!A:D,2,FALSE),"")</f>
        <v>Core Talent [M,M]</v>
      </c>
      <c r="Q78" s="22" t="str">
        <f>IFERROR(VLOOKUP(O78,'Excel Table (Do Not Format)'!A:D,3,FALSE),"")</f>
        <v>identify performance barriers, explore portential to expand responsibilties in current role and discuss career aspirations (ideally for talent new in role)</v>
      </c>
      <c r="R78" s="22" t="str">
        <f>IFERROR(VLOOKUP(O78,'Excel Table (Do Not Format)'!A:D,4,FALSE),"")</f>
        <v xml:space="preserve">Develop in Role - Identify developmental activities to continue to grow their skill and set them up for success for anticiapted progression </v>
      </c>
      <c r="S78" s="39"/>
      <c r="T78" s="38"/>
      <c r="U78" s="2" t="s">
        <v>126</v>
      </c>
      <c r="V78" s="2" t="s">
        <v>82</v>
      </c>
      <c r="W78" s="2" t="s">
        <v>126</v>
      </c>
      <c r="X78" s="2"/>
    </row>
    <row r="79" spans="1:24" ht="75">
      <c r="A79" s="31">
        <v>100722</v>
      </c>
      <c r="B79" s="22" t="s">
        <v>338</v>
      </c>
      <c r="C79" s="32" t="s">
        <v>300</v>
      </c>
      <c r="D79" s="32" t="s">
        <v>300</v>
      </c>
      <c r="E79" s="32" t="s">
        <v>300</v>
      </c>
      <c r="F79" s="32" t="s">
        <v>86</v>
      </c>
      <c r="G79" s="33">
        <v>43661</v>
      </c>
      <c r="H79" s="32" t="s">
        <v>164</v>
      </c>
      <c r="I79" s="32" t="s">
        <v>131</v>
      </c>
      <c r="J79" s="22" t="s">
        <v>89</v>
      </c>
      <c r="K79" s="22" t="s">
        <v>88</v>
      </c>
      <c r="L79" s="22" t="s">
        <v>90</v>
      </c>
      <c r="M79" s="22" t="s">
        <v>90</v>
      </c>
      <c r="N79" s="30" cm="1">
        <f t="array" ref="N79">IF(OR(L79="",M79=""),"", IF(OR(ISNA(MATCH(L79,{"Low","Medium","High"},0)), ISNA(MATCH(M79,{"Low","Medium","High"},0))),"",_xlfn.SWITCH(L79,"Low",1,"Medium",2,"High",3) + 3 * _xlfn.SWITCH(M79,"Low",1,"Medium",2,"High",3) - 3))</f>
        <v>5</v>
      </c>
      <c r="O79" s="37" t="s">
        <v>25</v>
      </c>
      <c r="P79" s="22" t="str">
        <f>IFERROR(VLOOKUP(O79,'Excel Table (Do Not Format)'!A:D,2,FALSE),"")</f>
        <v>Core Talent [M,M]</v>
      </c>
      <c r="Q79" s="22" t="str">
        <f>IFERROR(VLOOKUP(O79,'Excel Table (Do Not Format)'!A:D,3,FALSE),"")</f>
        <v>identify performance barriers, explore portential to expand responsibilties in current role and discuss career aspirations (ideally for talent new in role)</v>
      </c>
      <c r="R79" s="22" t="str">
        <f>IFERROR(VLOOKUP(O79,'Excel Table (Do Not Format)'!A:D,4,FALSE),"")</f>
        <v xml:space="preserve">Develop in Role - Identify developmental activities to continue to grow their skill and set them up for success for anticiapted progression </v>
      </c>
      <c r="S79" s="42" t="s">
        <v>339</v>
      </c>
      <c r="T79" s="38" t="s">
        <v>80</v>
      </c>
      <c r="U79" s="2" t="s">
        <v>133</v>
      </c>
      <c r="V79" s="2" t="s">
        <v>72</v>
      </c>
      <c r="W79" s="2" t="s">
        <v>134</v>
      </c>
      <c r="X79" s="2"/>
    </row>
    <row r="80" spans="1:24" ht="78">
      <c r="A80" s="31">
        <v>103293</v>
      </c>
      <c r="B80" s="22" t="s">
        <v>340</v>
      </c>
      <c r="C80" s="32" t="s">
        <v>170</v>
      </c>
      <c r="D80" s="32" t="s">
        <v>171</v>
      </c>
      <c r="E80" s="32" t="s">
        <v>171</v>
      </c>
      <c r="F80" s="32" t="s">
        <v>76</v>
      </c>
      <c r="G80" s="33">
        <v>44599</v>
      </c>
      <c r="H80" s="32" t="s">
        <v>66</v>
      </c>
      <c r="I80" s="32" t="s">
        <v>156</v>
      </c>
      <c r="J80" s="22" t="s">
        <v>68</v>
      </c>
      <c r="K80" s="22" t="s">
        <v>89</v>
      </c>
      <c r="L80" s="22" t="s">
        <v>69</v>
      </c>
      <c r="M80" s="22" t="s">
        <v>69</v>
      </c>
      <c r="N80" s="30" cm="1">
        <f t="array" ref="N80">IF(OR(L80="",M80=""),"", IF(OR(ISNA(MATCH(L80,{"Low","Medium","High"},0)), ISNA(MATCH(M80,{"Low","Medium","High"},0))),"",_xlfn.SWITCH(L80,"Low",1,"Medium",2,"High",3) + 3 * _xlfn.SWITCH(M80,"Low",1,"Medium",2,"High",3) - 3))</f>
        <v>9</v>
      </c>
      <c r="O80" s="37" t="s">
        <v>39</v>
      </c>
      <c r="P80" s="22" t="str">
        <f>IFERROR(VLOOKUP(O80,'Excel Table (Do Not Format)'!A:D,2,FALSE),"")</f>
        <v>Top Talent [H,H]</v>
      </c>
      <c r="Q80" s="22" t="str">
        <f>IFERROR(VLOOKUP(O80,'Excel Table (Do Not Format)'!A:D,3,FALSE),"")</f>
        <v xml:space="preserve">identify stretch experiences or temporary assignments, increase executive exposure </v>
      </c>
      <c r="R80" s="22" t="str">
        <f>IFERROR(VLOOKUP(O80,'Excel Table (Do Not Format)'!A:D,4,FALSE),"")</f>
        <v xml:space="preserve">Differentially Invest - Ensure career discussions are happening regualrly? Do they have an individual development plan? What opportunities exist to accelerate development and growth? Revisit talent often to plan for next steps. </v>
      </c>
      <c r="S80" s="39"/>
      <c r="T80" s="38"/>
      <c r="U80" s="2" t="s">
        <v>140</v>
      </c>
      <c r="V80" s="2" t="s">
        <v>82</v>
      </c>
      <c r="W80" s="2" t="s">
        <v>109</v>
      </c>
      <c r="X80" s="2" t="s">
        <v>140</v>
      </c>
    </row>
    <row r="81" spans="1:24" ht="52">
      <c r="A81" s="31">
        <v>105980</v>
      </c>
      <c r="B81" s="22" t="s">
        <v>341</v>
      </c>
      <c r="C81" s="32" t="s">
        <v>342</v>
      </c>
      <c r="D81" s="32" t="s">
        <v>342</v>
      </c>
      <c r="E81" s="32" t="s">
        <v>342</v>
      </c>
      <c r="F81" s="32" t="s">
        <v>65</v>
      </c>
      <c r="G81" s="33">
        <v>45693</v>
      </c>
      <c r="H81" s="32" t="s">
        <v>124</v>
      </c>
      <c r="I81" s="32" t="s">
        <v>343</v>
      </c>
      <c r="J81" s="22"/>
      <c r="K81" s="22"/>
      <c r="L81" s="22" t="s">
        <v>90</v>
      </c>
      <c r="M81" s="22" t="s">
        <v>90</v>
      </c>
      <c r="N81" s="30" cm="1">
        <f t="array" ref="N81">IF(OR(L81="",M81=""),"", IF(OR(ISNA(MATCH(L81,{"Low","Medium","High"},0)), ISNA(MATCH(M81,{"Low","Medium","High"},0))),"",_xlfn.SWITCH(L81,"Low",1,"Medium",2,"High",3) + 3 * _xlfn.SWITCH(M81,"Low",1,"Medium",2,"High",3) - 3))</f>
        <v>5</v>
      </c>
      <c r="O81" s="37" t="s">
        <v>25</v>
      </c>
      <c r="P81" s="22" t="str">
        <f>IFERROR(VLOOKUP(O81,'Excel Table (Do Not Format)'!A:D,2,FALSE),"")</f>
        <v>Core Talent [M,M]</v>
      </c>
      <c r="Q81" s="22" t="str">
        <f>IFERROR(VLOOKUP(O81,'Excel Table (Do Not Format)'!A:D,3,FALSE),"")</f>
        <v>identify performance barriers, explore portential to expand responsibilties in current role and discuss career aspirations (ideally for talent new in role)</v>
      </c>
      <c r="R81" s="22" t="str">
        <f>IFERROR(VLOOKUP(O81,'Excel Table (Do Not Format)'!A:D,4,FALSE),"")</f>
        <v xml:space="preserve">Develop in Role - Identify developmental activities to continue to grow their skill and set them up for success for anticiapted progression </v>
      </c>
      <c r="S81" s="39"/>
      <c r="T81" s="38"/>
      <c r="U81" s="2" t="s">
        <v>152</v>
      </c>
      <c r="V81" s="2" t="s">
        <v>148</v>
      </c>
      <c r="W81" s="2" t="s">
        <v>152</v>
      </c>
      <c r="X81" s="2"/>
    </row>
    <row r="82" spans="1:24" ht="65">
      <c r="A82" s="31">
        <v>106110</v>
      </c>
      <c r="B82" s="22" t="s">
        <v>344</v>
      </c>
      <c r="C82" s="32" t="s">
        <v>278</v>
      </c>
      <c r="D82" s="32" t="s">
        <v>279</v>
      </c>
      <c r="E82" s="32" t="s">
        <v>279</v>
      </c>
      <c r="F82" s="32" t="s">
        <v>86</v>
      </c>
      <c r="G82" s="33">
        <v>45754</v>
      </c>
      <c r="H82" s="32" t="s">
        <v>124</v>
      </c>
      <c r="I82" s="32" t="s">
        <v>337</v>
      </c>
      <c r="J82" s="22"/>
      <c r="K82" s="22"/>
      <c r="L82" s="22" t="s">
        <v>90</v>
      </c>
      <c r="M82" s="22" t="s">
        <v>90</v>
      </c>
      <c r="N82" s="30" cm="1">
        <f t="array" ref="N82">IF(OR(L82="",M82=""),"", IF(OR(ISNA(MATCH(L82,{"Low","Medium","High"},0)), ISNA(MATCH(M82,{"Low","Medium","High"},0))),"",_xlfn.SWITCH(L82,"Low",1,"Medium",2,"High",3) + 3 * _xlfn.SWITCH(M82,"Low",1,"Medium",2,"High",3) - 3))</f>
        <v>5</v>
      </c>
      <c r="O82" s="37" t="s">
        <v>25</v>
      </c>
      <c r="P82" s="22" t="str">
        <f>IFERROR(VLOOKUP(O82,'Excel Table (Do Not Format)'!A:D,2,FALSE),"")</f>
        <v>Core Talent [M,M]</v>
      </c>
      <c r="Q82" s="22" t="str">
        <f>IFERROR(VLOOKUP(O82,'Excel Table (Do Not Format)'!A:D,3,FALSE),"")</f>
        <v>identify performance barriers, explore portential to expand responsibilties in current role and discuss career aspirations (ideally for talent new in role)</v>
      </c>
      <c r="R82" s="22" t="str">
        <f>IFERROR(VLOOKUP(O82,'Excel Table (Do Not Format)'!A:D,4,FALSE),"")</f>
        <v xml:space="preserve">Develop in Role - Identify developmental activities to continue to grow their skill and set them up for success for anticiapted progression </v>
      </c>
      <c r="S82" s="39"/>
      <c r="T82" s="38"/>
      <c r="U82" s="2" t="s">
        <v>157</v>
      </c>
      <c r="V82" s="2" t="s">
        <v>148</v>
      </c>
      <c r="W82" s="2" t="s">
        <v>157</v>
      </c>
      <c r="X82" s="2"/>
    </row>
    <row r="83" spans="1:24" ht="52">
      <c r="A83" s="31">
        <v>103904</v>
      </c>
      <c r="B83" s="22" t="s">
        <v>345</v>
      </c>
      <c r="C83" s="32" t="s">
        <v>84</v>
      </c>
      <c r="D83" s="32" t="s">
        <v>346</v>
      </c>
      <c r="E83" s="32" t="s">
        <v>346</v>
      </c>
      <c r="F83" s="32" t="s">
        <v>86</v>
      </c>
      <c r="G83" s="33">
        <v>44743</v>
      </c>
      <c r="H83" s="32" t="s">
        <v>66</v>
      </c>
      <c r="I83" s="32" t="s">
        <v>165</v>
      </c>
      <c r="J83" s="22" t="s">
        <v>89</v>
      </c>
      <c r="K83" s="22" t="s">
        <v>89</v>
      </c>
      <c r="L83" s="22" t="s">
        <v>69</v>
      </c>
      <c r="M83" s="22" t="s">
        <v>69</v>
      </c>
      <c r="N83" s="30" cm="1">
        <f t="array" ref="N83">IF(OR(L83="",M83=""),"", IF(OR(ISNA(MATCH(L83,{"Low","Medium","High"},0)), ISNA(MATCH(M83,{"Low","Medium","High"},0))),"",_xlfn.SWITCH(L83,"Low",1,"Medium",2,"High",3) + 3 * _xlfn.SWITCH(M83,"Low",1,"Medium",2,"High",3) - 3))</f>
        <v>9</v>
      </c>
      <c r="O83" s="37" t="s">
        <v>25</v>
      </c>
      <c r="P83" s="22" t="str">
        <f>IFERROR(VLOOKUP(O83,'Excel Table (Do Not Format)'!A:D,2,FALSE),"")</f>
        <v>Core Talent [M,M]</v>
      </c>
      <c r="Q83" s="22" t="str">
        <f>IFERROR(VLOOKUP(O83,'Excel Table (Do Not Format)'!A:D,3,FALSE),"")</f>
        <v>identify performance barriers, explore portential to expand responsibilties in current role and discuss career aspirations (ideally for talent new in role)</v>
      </c>
      <c r="R83" s="22" t="str">
        <f>IFERROR(VLOOKUP(O83,'Excel Table (Do Not Format)'!A:D,4,FALSE),"")</f>
        <v xml:space="preserve">Develop in Role - Identify developmental activities to continue to grow their skill and set them up for success for anticiapted progression </v>
      </c>
      <c r="S83" s="46" t="s">
        <v>347</v>
      </c>
      <c r="T83" s="38" t="s">
        <v>80</v>
      </c>
      <c r="U83" s="2" t="s">
        <v>81</v>
      </c>
      <c r="V83" s="2" t="s">
        <v>82</v>
      </c>
      <c r="W83" s="2" t="s">
        <v>81</v>
      </c>
      <c r="X83" s="2"/>
    </row>
    <row r="84" spans="1:24" ht="52">
      <c r="A84" s="31">
        <v>105866</v>
      </c>
      <c r="B84" s="22" t="s">
        <v>348</v>
      </c>
      <c r="C84" s="32" t="s">
        <v>94</v>
      </c>
      <c r="D84" s="32" t="s">
        <v>85</v>
      </c>
      <c r="E84" s="32" t="s">
        <v>85</v>
      </c>
      <c r="F84" s="32" t="s">
        <v>86</v>
      </c>
      <c r="G84" s="33">
        <v>45663</v>
      </c>
      <c r="H84" s="32" t="s">
        <v>101</v>
      </c>
      <c r="I84" s="32" t="s">
        <v>349</v>
      </c>
      <c r="J84" s="22"/>
      <c r="K84" s="22"/>
      <c r="L84" s="22" t="s">
        <v>90</v>
      </c>
      <c r="M84" s="22" t="s">
        <v>103</v>
      </c>
      <c r="N84" s="30" cm="1">
        <f t="array" ref="N84">IF(OR(L84="",M84=""),"", IF(OR(ISNA(MATCH(L84,{"Low","Medium","High"},0)), ISNA(MATCH(M84,{"Low","Medium","High"},0))),"",_xlfn.SWITCH(L84,"Low",1,"Medium",2,"High",3) + 3 * _xlfn.SWITCH(M84,"Low",1,"Medium",2,"High",3) - 3))</f>
        <v>2</v>
      </c>
      <c r="O84" s="37" t="s">
        <v>14</v>
      </c>
      <c r="P84" s="22" t="str">
        <f>IFERROR(VLOOKUP(O84,'Excel Table (Do Not Format)'!A:D,2,FALSE),"")</f>
        <v>Solid Talent [M,L]</v>
      </c>
      <c r="Q84" s="22" t="str">
        <f>IFERROR(VLOOKUP(O84,'Excel Table (Do Not Format)'!A:D,3,FALSE),"")</f>
        <v xml:space="preserve">consider expanding current role, explore lateral/development opportunities </v>
      </c>
      <c r="R84" s="22" t="str">
        <f>IFERROR(VLOOKUP(O84,'Excel Table (Do Not Format)'!A:D,4,FALSE),"")</f>
        <v xml:space="preserve">Develop in Role - Identify developmental activities to continue to grow their skill and set them up for success for anticiapted progression </v>
      </c>
      <c r="S84" s="39"/>
      <c r="T84" s="38"/>
      <c r="U84" s="2" t="s">
        <v>98</v>
      </c>
      <c r="V84" s="2" t="s">
        <v>82</v>
      </c>
      <c r="W84" s="2" t="s">
        <v>98</v>
      </c>
      <c r="X84" s="2"/>
    </row>
    <row r="85" spans="1:24" ht="50">
      <c r="A85" s="31">
        <v>105931</v>
      </c>
      <c r="B85" s="22" t="s">
        <v>350</v>
      </c>
      <c r="C85" s="32" t="s">
        <v>351</v>
      </c>
      <c r="D85" s="32" t="s">
        <v>228</v>
      </c>
      <c r="E85" s="32" t="s">
        <v>228</v>
      </c>
      <c r="F85" s="32" t="s">
        <v>117</v>
      </c>
      <c r="G85" s="33">
        <v>45698</v>
      </c>
      <c r="H85" s="32" t="s">
        <v>124</v>
      </c>
      <c r="I85" s="32" t="s">
        <v>125</v>
      </c>
      <c r="J85" s="22"/>
      <c r="K85" s="22"/>
      <c r="L85" s="22" t="s">
        <v>90</v>
      </c>
      <c r="M85" s="22" t="s">
        <v>90</v>
      </c>
      <c r="N85" s="30" cm="1">
        <f t="array" ref="N85">IF(OR(L85="",M85=""),"", IF(OR(ISNA(MATCH(L85,{"Low","Medium","High"},0)), ISNA(MATCH(M85,{"Low","Medium","High"},0))),"",_xlfn.SWITCH(L85,"Low",1,"Medium",2,"High",3) + 3 * _xlfn.SWITCH(M85,"Low",1,"Medium",2,"High",3) - 3))</f>
        <v>5</v>
      </c>
      <c r="O85" s="37" t="s">
        <v>25</v>
      </c>
      <c r="P85" s="22" t="str">
        <f>IFERROR(VLOOKUP(O85,'Excel Table (Do Not Format)'!A:D,2,FALSE),"")</f>
        <v>Core Talent [M,M]</v>
      </c>
      <c r="Q85" s="22" t="str">
        <f>IFERROR(VLOOKUP(O85,'Excel Table (Do Not Format)'!A:D,3,FALSE),"")</f>
        <v>identify performance barriers, explore portential to expand responsibilties in current role and discuss career aspirations (ideally for talent new in role)</v>
      </c>
      <c r="R85" s="22" t="str">
        <f>IFERROR(VLOOKUP(O85,'Excel Table (Do Not Format)'!A:D,4,FALSE),"")</f>
        <v xml:space="preserve">Develop in Role - Identify developmental activities to continue to grow their skill and set them up for success for anticiapted progression </v>
      </c>
      <c r="S85" s="39"/>
      <c r="T85" s="38"/>
      <c r="U85" s="2" t="s">
        <v>262</v>
      </c>
      <c r="V85" s="2" t="s">
        <v>82</v>
      </c>
      <c r="W85" s="2" t="s">
        <v>262</v>
      </c>
      <c r="X85" s="2"/>
    </row>
    <row r="86" spans="1:24" ht="39">
      <c r="A86" s="31">
        <v>101900</v>
      </c>
      <c r="B86" s="22" t="s">
        <v>352</v>
      </c>
      <c r="C86" s="32" t="s">
        <v>142</v>
      </c>
      <c r="D86" s="32" t="s">
        <v>143</v>
      </c>
      <c r="E86" s="32" t="s">
        <v>143</v>
      </c>
      <c r="F86" s="32" t="s">
        <v>117</v>
      </c>
      <c r="G86" s="33">
        <v>45887</v>
      </c>
      <c r="H86" s="32" t="s">
        <v>77</v>
      </c>
      <c r="I86" s="32" t="s">
        <v>353</v>
      </c>
      <c r="J86" s="22" t="s">
        <v>88</v>
      </c>
      <c r="K86" s="22" t="s">
        <v>88</v>
      </c>
      <c r="L86" s="22"/>
      <c r="M86" s="22"/>
      <c r="N86" s="41" t="str" cm="1">
        <f t="array" ref="N86">IF(OR(L86="",M86=""),"", IF(OR(ISNA(MATCH(L86,{"Low","Medium","High"},0)), ISNA(MATCH(M86,{"Low","Medium","High"},0))),"",_xlfn.SWITCH(L86,"Low",1,"Medium",2,"High",3) + 3 * _xlfn.SWITCH(M86,"Low",1,"Medium",2,"High",3) - 3))</f>
        <v/>
      </c>
      <c r="O86" s="37"/>
      <c r="P86" s="22" t="str">
        <f>IFERROR(VLOOKUP(O86,'Excel Table (Do Not Format)'!A:D,2,FALSE),"")</f>
        <v/>
      </c>
      <c r="Q86" s="22" t="str">
        <f>IFERROR(VLOOKUP(O86,'Excel Table (Do Not Format)'!A:D,3,FALSE),"")</f>
        <v/>
      </c>
      <c r="R86" s="22" t="str">
        <f>IFERROR(VLOOKUP(O86,'Excel Table (Do Not Format)'!A:D,4,FALSE),"")</f>
        <v/>
      </c>
      <c r="S86" s="39" t="s">
        <v>354</v>
      </c>
      <c r="T86" s="38" t="s">
        <v>80</v>
      </c>
      <c r="U86" s="2" t="s">
        <v>250</v>
      </c>
      <c r="V86" s="2" t="s">
        <v>82</v>
      </c>
      <c r="W86" s="2" t="s">
        <v>250</v>
      </c>
      <c r="X86" s="2"/>
    </row>
    <row r="87" spans="1:24" ht="52">
      <c r="A87" s="31">
        <v>104147</v>
      </c>
      <c r="B87" s="22" t="s">
        <v>355</v>
      </c>
      <c r="C87" s="32" t="s">
        <v>240</v>
      </c>
      <c r="D87" s="32" t="s">
        <v>240</v>
      </c>
      <c r="E87" s="32" t="s">
        <v>162</v>
      </c>
      <c r="F87" s="32" t="s">
        <v>163</v>
      </c>
      <c r="G87" s="33">
        <v>44753</v>
      </c>
      <c r="H87" s="32" t="s">
        <v>66</v>
      </c>
      <c r="I87" s="32" t="s">
        <v>147</v>
      </c>
      <c r="J87" s="22" t="s">
        <v>89</v>
      </c>
      <c r="K87" s="22" t="s">
        <v>89</v>
      </c>
      <c r="L87" s="22" t="s">
        <v>90</v>
      </c>
      <c r="M87" s="22" t="s">
        <v>90</v>
      </c>
      <c r="N87" s="30" cm="1">
        <f t="array" ref="N87">IF(OR(L87="",M87=""),"", IF(OR(ISNA(MATCH(L87,{"Low","Medium","High"},0)), ISNA(MATCH(M87,{"Low","Medium","High"},0))),"",_xlfn.SWITCH(L87,"Low",1,"Medium",2,"High",3) + 3 * _xlfn.SWITCH(M87,"Low",1,"Medium",2,"High",3) - 3))</f>
        <v>5</v>
      </c>
      <c r="O87" s="37" t="s">
        <v>28</v>
      </c>
      <c r="P87" s="22" t="str">
        <f>IFERROR(VLOOKUP(O87,'Excel Table (Do Not Format)'!A:D,2,FALSE),"")</f>
        <v>High Impact Talent [H,M]</v>
      </c>
      <c r="Q87" s="22" t="str">
        <f>IFERROR(VLOOKUP(O87,'Excel Table (Do Not Format)'!A:D,3,FALSE),"")</f>
        <v>expand responsibilities in current role, identify key experiences and increase executive exposure</v>
      </c>
      <c r="R87" s="22" t="str">
        <f>IFERROR(VLOOKUP(O87,'Excel Table (Do Not Format)'!A:D,4,FALSE),"")</f>
        <v xml:space="preserve">Differentially Invest - Ensure career discussions are happening regualrly? Do they have an individual development plan? What opportunities exist to accelerate development and growth? Revisit talent often to plan for next steps. </v>
      </c>
      <c r="S87" s="39"/>
      <c r="T87" s="38"/>
      <c r="U87" s="2" t="s">
        <v>148</v>
      </c>
      <c r="V87" s="2" t="s">
        <v>148</v>
      </c>
      <c r="W87" s="2" t="s">
        <v>148</v>
      </c>
      <c r="X87" s="2"/>
    </row>
    <row r="88" spans="1:24" ht="52">
      <c r="A88" s="31">
        <v>106308</v>
      </c>
      <c r="B88" s="22" t="s">
        <v>356</v>
      </c>
      <c r="C88" s="32" t="s">
        <v>94</v>
      </c>
      <c r="D88" s="32" t="s">
        <v>346</v>
      </c>
      <c r="E88" s="32" t="s">
        <v>346</v>
      </c>
      <c r="F88" s="32" t="s">
        <v>86</v>
      </c>
      <c r="G88" s="33">
        <v>45915</v>
      </c>
      <c r="H88" s="32" t="s">
        <v>77</v>
      </c>
      <c r="I88" s="32" t="s">
        <v>357</v>
      </c>
      <c r="J88" s="22"/>
      <c r="K88" s="22" t="s">
        <v>89</v>
      </c>
      <c r="L88" s="22"/>
      <c r="M88" s="22"/>
      <c r="N88" s="41" t="str" cm="1">
        <f t="array" ref="N88">IF(OR(L88="",M88=""),"", IF(OR(ISNA(MATCH(L88,{"Low","Medium","High"},0)), ISNA(MATCH(M88,{"Low","Medium","High"},0))),"",_xlfn.SWITCH(L88,"Low",1,"Medium",2,"High",3) + 3 * _xlfn.SWITCH(M88,"Low",1,"Medium",2,"High",3) - 3))</f>
        <v/>
      </c>
      <c r="O88" s="37"/>
      <c r="P88" s="22" t="str">
        <f>IFERROR(VLOOKUP(O88,'Excel Table (Do Not Format)'!A:D,2,FALSE),"")</f>
        <v/>
      </c>
      <c r="Q88" s="22" t="str">
        <f>IFERROR(VLOOKUP(O88,'Excel Table (Do Not Format)'!A:D,3,FALSE),"")</f>
        <v/>
      </c>
      <c r="R88" s="22" t="str">
        <f>IFERROR(VLOOKUP(O88,'Excel Table (Do Not Format)'!A:D,4,FALSE),"")</f>
        <v/>
      </c>
      <c r="S88" s="39" t="s">
        <v>358</v>
      </c>
      <c r="T88" s="38" t="s">
        <v>80</v>
      </c>
      <c r="U88" s="2" t="s">
        <v>250</v>
      </c>
      <c r="V88" s="2" t="s">
        <v>82</v>
      </c>
      <c r="W88" s="2" t="s">
        <v>250</v>
      </c>
      <c r="X88" s="2"/>
    </row>
    <row r="89" spans="1:24" ht="50">
      <c r="A89" s="31">
        <v>102284</v>
      </c>
      <c r="B89" s="22" t="s">
        <v>359</v>
      </c>
      <c r="C89" s="32" t="s">
        <v>122</v>
      </c>
      <c r="D89" s="32" t="s">
        <v>255</v>
      </c>
      <c r="E89" s="32" t="s">
        <v>255</v>
      </c>
      <c r="F89" s="32" t="s">
        <v>117</v>
      </c>
      <c r="G89" s="33">
        <v>44410</v>
      </c>
      <c r="H89" s="32" t="s">
        <v>66</v>
      </c>
      <c r="I89" s="32" t="s">
        <v>360</v>
      </c>
      <c r="J89" s="22" t="s">
        <v>89</v>
      </c>
      <c r="K89" s="22" t="s">
        <v>89</v>
      </c>
      <c r="L89" s="22" t="s">
        <v>90</v>
      </c>
      <c r="M89" s="22" t="s">
        <v>90</v>
      </c>
      <c r="N89" s="30" cm="1">
        <f t="array" ref="N89">IF(OR(L89="",M89=""),"", IF(OR(ISNA(MATCH(L89,{"Low","Medium","High"},0)), ISNA(MATCH(M89,{"Low","Medium","High"},0))),"",_xlfn.SWITCH(L89,"Low",1,"Medium",2,"High",3) + 3 * _xlfn.SWITCH(M89,"Low",1,"Medium",2,"High",3) - 3))</f>
        <v>5</v>
      </c>
      <c r="O89" s="37" t="s">
        <v>25</v>
      </c>
      <c r="P89" s="22" t="str">
        <f>IFERROR(VLOOKUP(O89,'Excel Table (Do Not Format)'!A:D,2,FALSE),"")</f>
        <v>Core Talent [M,M]</v>
      </c>
      <c r="Q89" s="22" t="str">
        <f>IFERROR(VLOOKUP(O89,'Excel Table (Do Not Format)'!A:D,3,FALSE),"")</f>
        <v>identify performance barriers, explore portential to expand responsibilties in current role and discuss career aspirations (ideally for talent new in role)</v>
      </c>
      <c r="R89" s="22" t="str">
        <f>IFERROR(VLOOKUP(O89,'Excel Table (Do Not Format)'!A:D,4,FALSE),"")</f>
        <v xml:space="preserve">Develop in Role - Identify developmental activities to continue to grow their skill and set them up for success for anticiapted progression </v>
      </c>
      <c r="S89" s="39"/>
      <c r="T89" s="38"/>
      <c r="U89" s="2" t="s">
        <v>126</v>
      </c>
      <c r="V89" s="2" t="s">
        <v>82</v>
      </c>
      <c r="W89" s="2" t="s">
        <v>126</v>
      </c>
      <c r="X89" s="2"/>
    </row>
    <row r="90" spans="1:24" ht="65">
      <c r="A90" s="31">
        <v>100564</v>
      </c>
      <c r="B90" s="22" t="s">
        <v>361</v>
      </c>
      <c r="C90" s="32" t="s">
        <v>331</v>
      </c>
      <c r="D90" s="32" t="s">
        <v>233</v>
      </c>
      <c r="E90" s="32" t="s">
        <v>233</v>
      </c>
      <c r="F90" s="32" t="s">
        <v>86</v>
      </c>
      <c r="G90" s="33">
        <v>43584</v>
      </c>
      <c r="H90" s="32" t="s">
        <v>164</v>
      </c>
      <c r="I90" s="32" t="s">
        <v>362</v>
      </c>
      <c r="J90" s="22" t="s">
        <v>89</v>
      </c>
      <c r="K90" s="22" t="s">
        <v>89</v>
      </c>
      <c r="L90" s="22" t="s">
        <v>103</v>
      </c>
      <c r="M90" s="22" t="s">
        <v>90</v>
      </c>
      <c r="N90" s="30" cm="1">
        <f t="array" ref="N90">IF(OR(L90="",M90=""),"", IF(OR(ISNA(MATCH(L90,{"Low","Medium","High"},0)), ISNA(MATCH(M90,{"Low","Medium","High"},0))),"",_xlfn.SWITCH(L90,"Low",1,"Medium",2,"High",3) + 3 * _xlfn.SWITCH(M90,"Low",1,"Medium",2,"High",3) - 3))</f>
        <v>4</v>
      </c>
      <c r="O90" s="37" t="s">
        <v>25</v>
      </c>
      <c r="P90" s="22" t="str">
        <f>IFERROR(VLOOKUP(O90,'Excel Table (Do Not Format)'!A:D,2,FALSE),"")</f>
        <v>Core Talent [M,M]</v>
      </c>
      <c r="Q90" s="22" t="str">
        <f>IFERROR(VLOOKUP(O90,'Excel Table (Do Not Format)'!A:D,3,FALSE),"")</f>
        <v>identify performance barriers, explore portential to expand responsibilties in current role and discuss career aspirations (ideally for talent new in role)</v>
      </c>
      <c r="R90" s="22" t="str">
        <f>IFERROR(VLOOKUP(O90,'Excel Table (Do Not Format)'!A:D,4,FALSE),"")</f>
        <v xml:space="preserve">Develop in Role - Identify developmental activities to continue to grow their skill and set them up for success for anticiapted progression </v>
      </c>
      <c r="S90" s="39"/>
      <c r="T90" s="38" t="s">
        <v>80</v>
      </c>
      <c r="U90" s="2" t="s">
        <v>204</v>
      </c>
      <c r="V90" s="2" t="s">
        <v>72</v>
      </c>
      <c r="W90" s="2" t="s">
        <v>204</v>
      </c>
      <c r="X90" s="2"/>
    </row>
    <row r="91" spans="1:24" ht="52">
      <c r="A91" s="31">
        <v>101274</v>
      </c>
      <c r="B91" s="22" t="s">
        <v>363</v>
      </c>
      <c r="C91" s="32" t="s">
        <v>64</v>
      </c>
      <c r="D91" s="32" t="s">
        <v>64</v>
      </c>
      <c r="E91" s="32" t="s">
        <v>64</v>
      </c>
      <c r="F91" s="32" t="s">
        <v>65</v>
      </c>
      <c r="G91" s="33">
        <v>43906</v>
      </c>
      <c r="H91" s="32" t="s">
        <v>164</v>
      </c>
      <c r="I91" s="32" t="s">
        <v>207</v>
      </c>
      <c r="J91" s="22" t="s">
        <v>89</v>
      </c>
      <c r="K91" s="22" t="s">
        <v>68</v>
      </c>
      <c r="L91" s="22" t="s">
        <v>69</v>
      </c>
      <c r="M91" s="22" t="s">
        <v>90</v>
      </c>
      <c r="N91" s="30" cm="1">
        <f t="array" ref="N91">IF(OR(L91="",M91=""),"", IF(OR(ISNA(MATCH(L91,{"Low","Medium","High"},0)), ISNA(MATCH(M91,{"Low","Medium","High"},0))),"",_xlfn.SWITCH(L91,"Low",1,"Medium",2,"High",3) + 3 * _xlfn.SWITCH(M91,"Low",1,"Medium",2,"High",3) - 3))</f>
        <v>6</v>
      </c>
      <c r="O91" s="37" t="s">
        <v>18</v>
      </c>
      <c r="P91" s="22" t="str">
        <f>IFERROR(VLOOKUP(O91,'Excel Table (Do Not Format)'!A:D,2,FALSE),"")</f>
        <v>Expert Talent [H,L]</v>
      </c>
      <c r="Q91" s="22" t="str">
        <f>IFERROR(VLOOKUP(O91,'Excel Table (Do Not Format)'!A:D,3,FALSE),"")</f>
        <v xml:space="preserve">leverage experience to mentor and growth others </v>
      </c>
      <c r="R91" s="22" t="str">
        <f>IFERROR(VLOOKUP(O91,'Excel Table (Do Not Format)'!A:D,4,FALSE),"")</f>
        <v xml:space="preserve">Develop in Role - Identify developmental activities to continue to grow their skill and set them up for success for anticiapted progression </v>
      </c>
      <c r="S91" s="39"/>
      <c r="T91" s="38"/>
      <c r="U91" s="2" t="s">
        <v>148</v>
      </c>
      <c r="V91" s="2" t="s">
        <v>148</v>
      </c>
      <c r="W91" s="2" t="s">
        <v>148</v>
      </c>
      <c r="X91" s="2"/>
    </row>
    <row r="92" spans="1:24" ht="52">
      <c r="A92" s="31">
        <v>103656</v>
      </c>
      <c r="B92" s="22" t="s">
        <v>364</v>
      </c>
      <c r="C92" s="32" t="s">
        <v>202</v>
      </c>
      <c r="D92" s="32" t="s">
        <v>328</v>
      </c>
      <c r="E92" s="32" t="s">
        <v>328</v>
      </c>
      <c r="F92" s="32" t="s">
        <v>117</v>
      </c>
      <c r="G92" s="33">
        <v>44683</v>
      </c>
      <c r="H92" s="32" t="s">
        <v>66</v>
      </c>
      <c r="I92" s="32" t="s">
        <v>256</v>
      </c>
      <c r="J92" s="22" t="s">
        <v>88</v>
      </c>
      <c r="K92" s="22" t="s">
        <v>88</v>
      </c>
      <c r="L92" s="22"/>
      <c r="M92" s="22"/>
      <c r="N92" s="30" t="str" cm="1">
        <f t="array" ref="N92">IF(OR(L92="",M92=""),"", IF(OR(ISNA(MATCH(L92,{"Low","Medium","High"},0)), ISNA(MATCH(M92,{"Low","Medium","High"},0))),"",_xlfn.SWITCH(L92,"Low",1,"Medium",2,"High",3) + 3 * _xlfn.SWITCH(M92,"Low",1,"Medium",2,"High",3) - 3))</f>
        <v/>
      </c>
      <c r="O92" s="37" t="s">
        <v>25</v>
      </c>
      <c r="P92" s="22" t="str">
        <f>IFERROR(VLOOKUP(O92,'Excel Table (Do Not Format)'!A:D,2,FALSE),"")</f>
        <v>Core Talent [M,M]</v>
      </c>
      <c r="Q92" s="22" t="str">
        <f>IFERROR(VLOOKUP(O92,'Excel Table (Do Not Format)'!A:D,3,FALSE),"")</f>
        <v>identify performance barriers, explore portential to expand responsibilties in current role and discuss career aspirations (ideally for talent new in role)</v>
      </c>
      <c r="R92" s="22" t="str">
        <f>IFERROR(VLOOKUP(O92,'Excel Table (Do Not Format)'!A:D,4,FALSE),"")</f>
        <v xml:space="preserve">Develop in Role - Identify developmental activities to continue to grow their skill and set them up for success for anticiapted progression </v>
      </c>
      <c r="S92" s="39"/>
      <c r="T92" s="38"/>
      <c r="U92" s="2" t="s">
        <v>204</v>
      </c>
      <c r="V92" s="2" t="s">
        <v>72</v>
      </c>
      <c r="W92" s="2" t="s">
        <v>204</v>
      </c>
      <c r="X92" s="2"/>
    </row>
    <row r="93" spans="1:24" ht="52">
      <c r="A93" s="31">
        <v>104315</v>
      </c>
      <c r="B93" s="22" t="s">
        <v>365</v>
      </c>
      <c r="C93" s="32" t="s">
        <v>323</v>
      </c>
      <c r="D93" s="32" t="s">
        <v>261</v>
      </c>
      <c r="E93" s="32" t="s">
        <v>261</v>
      </c>
      <c r="F93" s="32" t="s">
        <v>86</v>
      </c>
      <c r="G93" s="33">
        <v>44788</v>
      </c>
      <c r="H93" s="32" t="s">
        <v>66</v>
      </c>
      <c r="I93" s="32" t="s">
        <v>366</v>
      </c>
      <c r="J93" s="22" t="s">
        <v>89</v>
      </c>
      <c r="K93" s="22" t="s">
        <v>89</v>
      </c>
      <c r="L93" s="22" t="s">
        <v>69</v>
      </c>
      <c r="M93" s="22" t="s">
        <v>90</v>
      </c>
      <c r="N93" s="30" cm="1">
        <f t="array" ref="N93">IF(OR(L93="",M93=""),"", IF(OR(ISNA(MATCH(L93,{"Low","Medium","High"},0)), ISNA(MATCH(M93,{"Low","Medium","High"},0))),"",_xlfn.SWITCH(L93,"Low",1,"Medium",2,"High",3) + 3 * _xlfn.SWITCH(M93,"Low",1,"Medium",2,"High",3) - 3))</f>
        <v>6</v>
      </c>
      <c r="O93" s="37" t="s">
        <v>25</v>
      </c>
      <c r="P93" s="22" t="str">
        <f>IFERROR(VLOOKUP(O93,'Excel Table (Do Not Format)'!A:D,2,FALSE),"")</f>
        <v>Core Talent [M,M]</v>
      </c>
      <c r="Q93" s="22" t="str">
        <f>IFERROR(VLOOKUP(O93,'Excel Table (Do Not Format)'!A:D,3,FALSE),"")</f>
        <v>identify performance barriers, explore portential to expand responsibilties in current role and discuss career aspirations (ideally for talent new in role)</v>
      </c>
      <c r="R93" s="22" t="str">
        <f>IFERROR(VLOOKUP(O93,'Excel Table (Do Not Format)'!A:D,4,FALSE),"")</f>
        <v xml:space="preserve">Develop in Role - Identify developmental activities to continue to grow their skill and set them up for success for anticiapted progression </v>
      </c>
      <c r="S93" s="39" t="s">
        <v>367</v>
      </c>
      <c r="T93" s="38" t="s">
        <v>80</v>
      </c>
      <c r="U93" s="2" t="s">
        <v>145</v>
      </c>
      <c r="V93" s="2" t="s">
        <v>82</v>
      </c>
      <c r="W93" s="2" t="s">
        <v>145</v>
      </c>
      <c r="X93" s="2"/>
    </row>
    <row r="94" spans="1:24" ht="15.75" customHeight="1">
      <c r="A94" s="35"/>
      <c r="B94" s="35"/>
      <c r="C94" s="35"/>
      <c r="D94" s="35"/>
      <c r="E94" s="35"/>
      <c r="F94" s="35"/>
      <c r="G94" s="35"/>
      <c r="H94" s="35"/>
      <c r="I94" s="35"/>
      <c r="J94" s="35"/>
      <c r="K94" s="35"/>
      <c r="L94" s="35"/>
      <c r="M94" s="35"/>
      <c r="N94" s="35"/>
      <c r="O94" s="35"/>
      <c r="P94" s="35"/>
      <c r="Q94" s="35"/>
      <c r="S94" s="34"/>
      <c r="T94" s="34"/>
      <c r="U94" s="34"/>
      <c r="V94" s="34"/>
      <c r="W94" s="34"/>
      <c r="X94" s="34"/>
    </row>
    <row r="95" spans="1:24" ht="15.75" customHeight="1">
      <c r="A95" s="35"/>
      <c r="B95" s="35"/>
      <c r="C95" s="35"/>
      <c r="D95" s="35"/>
      <c r="E95" s="35"/>
      <c r="F95" s="35"/>
      <c r="G95" s="35"/>
      <c r="H95" s="35"/>
      <c r="I95" s="35"/>
      <c r="J95" s="35"/>
      <c r="K95" s="35"/>
      <c r="L95" s="35"/>
      <c r="M95" s="35"/>
      <c r="N95" s="35"/>
      <c r="O95" s="35"/>
      <c r="P95" s="35"/>
      <c r="Q95" s="35"/>
      <c r="S95" s="34"/>
      <c r="T95" s="34"/>
      <c r="U95" s="34"/>
      <c r="V95" s="34"/>
      <c r="W95" s="34"/>
      <c r="X95" s="34"/>
    </row>
  </sheetData>
  <autoFilter ref="A1:X93" xr:uid="{00000000-0001-0000-0000-000000000000}"/>
  <conditionalFormatting sqref="A1:T1 Y1:XFD93 C2:I93 O2:S93 A28:A93 A94:XFD1048576">
    <cfRule type="containsText" dxfId="9" priority="1" operator="containsText" text="Evaluate Fit/Make a Plan ">
      <formula>NOT(ISERROR(SEARCH("Evaluate Fit/Make a Plan ",A1)))</formula>
    </cfRule>
    <cfRule type="containsText" dxfId="8" priority="2" operator="containsText" text="Develop in Role">
      <formula>NOT(ISERROR(SEARCH("Develop in Role",A1)))</formula>
    </cfRule>
    <cfRule type="containsText" dxfId="7" priority="3" stopIfTrue="1" operator="containsText" text="Make a Plan">
      <formula>NOT(ISERROR(SEARCH("Make a Plan",A1)))</formula>
    </cfRule>
    <cfRule type="containsText" dxfId="6" priority="4" operator="containsText" text="Evaluate Fit ">
      <formula>NOT(ISERROR(SEARCH("Evaluate Fit ",A1)))</formula>
    </cfRule>
    <cfRule type="containsText" dxfId="5" priority="5" operator="containsText" text="Differentially Invest">
      <formula>NOT(ISERROR(SEARCH("Differentially Invest",A1)))</formula>
    </cfRule>
  </conditionalFormatting>
  <conditionalFormatting sqref="O2 O17:O19 O21:O22 O27 O34 O36 O47 O80 O83">
    <cfRule type="containsText" dxfId="4" priority="21" operator="containsText" text="Not Meeting Expectations">
      <formula>NOT(ISERROR(SEARCH("Not Meeting Expectations",O2)))</formula>
    </cfRule>
  </conditionalFormatting>
  <dataValidations count="3">
    <dataValidation type="list" allowBlank="1" showInputMessage="1" showErrorMessage="1" sqref="L2:M2 L20:L26 L93:M93 L17:M19 M10:M13 L55:L56 M56 L58:L63 M58 M60:M63 L64:M64 L66 L69:L71 M70:M71 L84:L85 M85 L15:M15 L86:M91 M20:M25 L4:M7 L73:M83 L57:M57 L52:M54 L41:M50 L30:M39 L27:M28 L9:L13 L67:M68" xr:uid="{A0182A8A-780A-4499-BDD1-B289E2719D31}">
      <formula1>"High,Medium,Low"</formula1>
    </dataValidation>
    <dataValidation showDropDown="1" showInputMessage="1" showErrorMessage="1" sqref="O1" xr:uid="{102FEB6A-E481-44C2-8CDC-FD2966BFA9CC}"/>
    <dataValidation type="list" allowBlank="1" showInputMessage="1" showErrorMessage="1" sqref="T2:T93" xr:uid="{735442A8-39C8-421F-85AD-84F3D46997B0}">
      <formula1>"Yes, No"</formula1>
    </dataValidation>
  </dataValidations>
  <pageMargins left="0.7" right="0.7" top="0.75" bottom="0.75" header="0.3" footer="0.3"/>
  <pageSetup orientation="portrait" horizontalDpi="0" verticalDpi="0"/>
  <extLst>
    <ext xmlns:x14="http://schemas.microsoft.com/office/spreadsheetml/2009/9/main" uri="{CCE6A557-97BC-4b89-ADB6-D9C93CAAB3DF}">
      <x14:dataValidations xmlns:xm="http://schemas.microsoft.com/office/excel/2006/main" count="1">
        <x14:dataValidation type="list" allowBlank="1" showInputMessage="1" showErrorMessage="1" xr:uid="{6E09FC09-E3C5-C948-BE90-82BCA1F4A549}">
          <x14:formula1>
            <xm:f>'Excel Table (Do Not Format)'!$A$2:$A$10</xm:f>
          </x14:formula1>
          <xm:sqref>O2:O1048576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4"/>
  <sheetViews>
    <sheetView zoomScale="85" zoomScaleNormal="85" workbookViewId="0">
      <selection activeCell="C22" sqref="C21:C22"/>
    </sheetView>
  </sheetViews>
  <sheetFormatPr defaultColWidth="11" defaultRowHeight="16"/>
  <cols>
    <col min="1" max="1" width="27.33203125" bestFit="1" customWidth="1"/>
    <col min="2" max="2" width="25.08203125" bestFit="1" customWidth="1"/>
    <col min="3" max="3" width="87.33203125" bestFit="1" customWidth="1"/>
    <col min="4" max="4" width="187.08203125" bestFit="1" customWidth="1"/>
  </cols>
  <sheetData>
    <row r="1" spans="1:4">
      <c r="A1" s="1" t="s">
        <v>368</v>
      </c>
      <c r="B1" s="1" t="s">
        <v>369</v>
      </c>
      <c r="C1" s="1" t="s">
        <v>8</v>
      </c>
      <c r="D1" s="1" t="s">
        <v>9</v>
      </c>
    </row>
    <row r="2" spans="1:4">
      <c r="A2" t="s">
        <v>32</v>
      </c>
      <c r="B2" t="s">
        <v>370</v>
      </c>
      <c r="C2" t="s">
        <v>34</v>
      </c>
      <c r="D2" s="4" t="s">
        <v>35</v>
      </c>
    </row>
    <row r="3" spans="1:4">
      <c r="A3" t="s">
        <v>21</v>
      </c>
      <c r="B3" t="s">
        <v>22</v>
      </c>
      <c r="C3" t="s">
        <v>23</v>
      </c>
      <c r="D3" s="4" t="s">
        <v>24</v>
      </c>
    </row>
    <row r="4" spans="1:4">
      <c r="A4" t="s">
        <v>10</v>
      </c>
      <c r="B4" t="s">
        <v>11</v>
      </c>
      <c r="C4" t="s">
        <v>12</v>
      </c>
      <c r="D4" s="5" t="s">
        <v>13</v>
      </c>
    </row>
    <row r="5" spans="1:4">
      <c r="A5" t="s">
        <v>36</v>
      </c>
      <c r="B5" t="s">
        <v>37</v>
      </c>
      <c r="C5" t="s">
        <v>371</v>
      </c>
      <c r="D5" s="6" t="s">
        <v>372</v>
      </c>
    </row>
    <row r="6" spans="1:4">
      <c r="A6" t="s">
        <v>25</v>
      </c>
      <c r="B6" t="s">
        <v>26</v>
      </c>
      <c r="C6" t="s">
        <v>373</v>
      </c>
      <c r="D6" s="7" t="s">
        <v>374</v>
      </c>
    </row>
    <row r="7" spans="1:4">
      <c r="A7" t="s">
        <v>14</v>
      </c>
      <c r="B7" t="s">
        <v>15</v>
      </c>
      <c r="C7" t="s">
        <v>16</v>
      </c>
      <c r="D7" s="7" t="s">
        <v>374</v>
      </c>
    </row>
    <row r="8" spans="1:4">
      <c r="A8" t="s">
        <v>39</v>
      </c>
      <c r="B8" t="s">
        <v>40</v>
      </c>
      <c r="C8" t="s">
        <v>41</v>
      </c>
      <c r="D8" s="6" t="s">
        <v>372</v>
      </c>
    </row>
    <row r="9" spans="1:4">
      <c r="A9" t="s">
        <v>28</v>
      </c>
      <c r="B9" t="s">
        <v>29</v>
      </c>
      <c r="C9" t="s">
        <v>30</v>
      </c>
      <c r="D9" s="6" t="s">
        <v>372</v>
      </c>
    </row>
    <row r="10" spans="1:4">
      <c r="A10" t="s">
        <v>18</v>
      </c>
      <c r="B10" t="s">
        <v>19</v>
      </c>
      <c r="C10" t="s">
        <v>20</v>
      </c>
      <c r="D10" s="7" t="s">
        <v>374</v>
      </c>
    </row>
    <row r="13" spans="1:4">
      <c r="D13" s="3"/>
    </row>
    <row r="15" spans="1:4">
      <c r="A15" s="3"/>
    </row>
    <row r="24" spans="1:1">
      <c r="A24" s="3"/>
    </row>
  </sheetData>
  <autoFilter ref="A2:D10" xr:uid="{00000000-0001-0000-0100-000000000000}"/>
  <dataConsolidate/>
  <conditionalFormatting sqref="A1:D1">
    <cfRule type="containsText" dxfId="3" priority="1" operator="containsText" text="Develop in Role">
      <formula>NOT(ISERROR(SEARCH("Develop in Role",A1)))</formula>
    </cfRule>
    <cfRule type="containsText" dxfId="2" priority="2" stopIfTrue="1" operator="containsText" text="Make a Plan">
      <formula>NOT(ISERROR(SEARCH("Make a Plan",A1)))</formula>
    </cfRule>
    <cfRule type="containsText" dxfId="1" priority="3" operator="containsText" text="Evaluate Fit ">
      <formula>NOT(ISERROR(SEARCH("Evaluate Fit ",A1)))</formula>
    </cfRule>
    <cfRule type="containsText" dxfId="0" priority="4" operator="containsText" text="Differentially Invest">
      <formula>NOT(ISERROR(SEARCH("Differentially Invest",A1)))</formula>
    </cfRule>
  </conditionalFormatting>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D04A3-473E-4357-9017-2FED0C3AB10C}">
  <dimension ref="A3:F108"/>
  <sheetViews>
    <sheetView workbookViewId="0">
      <selection activeCell="E10" sqref="E10"/>
    </sheetView>
  </sheetViews>
  <sheetFormatPr defaultRowHeight="16"/>
  <cols>
    <col min="1" max="1" width="23.75" bestFit="1" customWidth="1"/>
    <col min="2" max="2" width="14.58203125" bestFit="1" customWidth="1"/>
    <col min="3" max="3" width="16" bestFit="1" customWidth="1"/>
    <col min="4" max="4" width="42.83203125" bestFit="1" customWidth="1"/>
    <col min="5" max="5" width="31.33203125" bestFit="1" customWidth="1"/>
    <col min="6" max="6" width="5.08203125" bestFit="1" customWidth="1"/>
    <col min="7" max="7" width="4.83203125" bestFit="1" customWidth="1"/>
    <col min="8" max="13" width="45.83203125" bestFit="1" customWidth="1"/>
    <col min="14" max="14" width="10.33203125" bestFit="1" customWidth="1"/>
    <col min="15" max="15" width="11.83203125" bestFit="1" customWidth="1"/>
    <col min="16" max="16" width="30" bestFit="1" customWidth="1"/>
    <col min="17" max="17" width="14.33203125" bestFit="1" customWidth="1"/>
    <col min="18" max="18" width="12.08203125" bestFit="1" customWidth="1"/>
    <col min="19" max="19" width="23.83203125" bestFit="1" customWidth="1"/>
    <col min="20" max="21" width="9.5" bestFit="1" customWidth="1"/>
    <col min="22" max="22" width="10.25" bestFit="1" customWidth="1"/>
    <col min="23" max="23" width="9.83203125" bestFit="1" customWidth="1"/>
    <col min="24" max="24" width="19.75" bestFit="1" customWidth="1"/>
    <col min="25" max="25" width="14.25" bestFit="1" customWidth="1"/>
    <col min="26" max="26" width="10.58203125" bestFit="1" customWidth="1"/>
    <col min="27" max="27" width="15.08203125" bestFit="1" customWidth="1"/>
    <col min="28" max="29" width="15.58203125" bestFit="1" customWidth="1"/>
    <col min="30" max="30" width="10.5" bestFit="1" customWidth="1"/>
    <col min="31" max="31" width="10.33203125" bestFit="1" customWidth="1"/>
    <col min="32" max="32" width="8.5" bestFit="1" customWidth="1"/>
    <col min="33" max="33" width="14.75" bestFit="1" customWidth="1"/>
    <col min="34" max="34" width="16.08203125" bestFit="1" customWidth="1"/>
    <col min="35" max="35" width="19.58203125" bestFit="1" customWidth="1"/>
    <col min="36" max="36" width="11.08203125" bestFit="1" customWidth="1"/>
    <col min="37" max="37" width="10.75" bestFit="1" customWidth="1"/>
    <col min="38" max="38" width="13.75" bestFit="1" customWidth="1"/>
    <col min="39" max="39" width="13.5" bestFit="1" customWidth="1"/>
    <col min="40" max="40" width="17.33203125" bestFit="1" customWidth="1"/>
    <col min="41" max="41" width="11.83203125" bestFit="1" customWidth="1"/>
    <col min="42" max="42" width="9.58203125" bestFit="1" customWidth="1"/>
    <col min="43" max="43" width="17.83203125" bestFit="1" customWidth="1"/>
    <col min="44" max="44" width="12.33203125" bestFit="1" customWidth="1"/>
    <col min="45" max="45" width="17.33203125" bestFit="1" customWidth="1"/>
    <col min="46" max="46" width="13.08203125" bestFit="1" customWidth="1"/>
    <col min="47" max="47" width="27.83203125" bestFit="1" customWidth="1"/>
    <col min="48" max="48" width="11.83203125" bestFit="1" customWidth="1"/>
    <col min="49" max="49" width="13.08203125" bestFit="1" customWidth="1"/>
    <col min="50" max="50" width="14.83203125" bestFit="1" customWidth="1"/>
    <col min="51" max="51" width="9.83203125" bestFit="1" customWidth="1"/>
    <col min="52" max="52" width="21.08203125" bestFit="1" customWidth="1"/>
    <col min="53" max="53" width="10.83203125" bestFit="1" customWidth="1"/>
    <col min="54" max="54" width="11.08203125" bestFit="1" customWidth="1"/>
    <col min="55" max="55" width="10.58203125" bestFit="1" customWidth="1"/>
    <col min="56" max="56" width="11.33203125" bestFit="1" customWidth="1"/>
    <col min="57" max="57" width="14" bestFit="1" customWidth="1"/>
    <col min="58" max="58" width="10.75" bestFit="1" customWidth="1"/>
    <col min="59" max="59" width="13.25" bestFit="1" customWidth="1"/>
    <col min="60" max="60" width="6.33203125" bestFit="1" customWidth="1"/>
    <col min="61" max="61" width="10.25" bestFit="1" customWidth="1"/>
    <col min="62" max="62" width="23.75" bestFit="1" customWidth="1"/>
    <col min="63" max="63" width="12.33203125" bestFit="1" customWidth="1"/>
    <col min="64" max="64" width="18.83203125" bestFit="1" customWidth="1"/>
    <col min="65" max="65" width="8.83203125" bestFit="1" customWidth="1"/>
    <col min="66" max="66" width="12.25" bestFit="1" customWidth="1"/>
    <col min="67" max="67" width="11.08203125" bestFit="1" customWidth="1"/>
    <col min="68" max="68" width="14.25" bestFit="1" customWidth="1"/>
    <col min="69" max="69" width="19.08203125" bestFit="1" customWidth="1"/>
    <col min="70" max="70" width="16.33203125" bestFit="1" customWidth="1"/>
    <col min="71" max="71" width="10.5" bestFit="1" customWidth="1"/>
    <col min="72" max="72" width="13.83203125" bestFit="1" customWidth="1"/>
    <col min="73" max="73" width="14.83203125" bestFit="1" customWidth="1"/>
    <col min="74" max="74" width="13.33203125" bestFit="1" customWidth="1"/>
    <col min="75" max="75" width="12.33203125" bestFit="1" customWidth="1"/>
    <col min="76" max="76" width="14.75" bestFit="1" customWidth="1"/>
    <col min="77" max="77" width="14.58203125" bestFit="1" customWidth="1"/>
    <col min="78" max="78" width="9.25" bestFit="1" customWidth="1"/>
    <col min="79" max="79" width="15" bestFit="1" customWidth="1"/>
    <col min="80" max="80" width="17.83203125" bestFit="1" customWidth="1"/>
    <col min="81" max="81" width="9.75" bestFit="1" customWidth="1"/>
    <col min="82" max="82" width="13.33203125" bestFit="1" customWidth="1"/>
    <col min="83" max="83" width="11" bestFit="1" customWidth="1"/>
    <col min="84" max="84" width="13.58203125" bestFit="1" customWidth="1"/>
    <col min="85" max="85" width="12.83203125" bestFit="1" customWidth="1"/>
    <col min="86" max="86" width="10.75" bestFit="1" customWidth="1"/>
    <col min="87" max="87" width="11.75" bestFit="1" customWidth="1"/>
    <col min="88" max="88" width="22" bestFit="1" customWidth="1"/>
    <col min="89" max="89" width="8.25" bestFit="1" customWidth="1"/>
    <col min="90" max="90" width="11.25" bestFit="1" customWidth="1"/>
    <col min="91" max="91" width="15.58203125" bestFit="1" customWidth="1"/>
    <col min="92" max="92" width="7.5" bestFit="1" customWidth="1"/>
    <col min="93" max="93" width="13.33203125" bestFit="1" customWidth="1"/>
    <col min="94" max="94" width="13.08203125" bestFit="1" customWidth="1"/>
    <col min="95" max="95" width="14" bestFit="1" customWidth="1"/>
    <col min="96" max="96" width="12.33203125" bestFit="1" customWidth="1"/>
    <col min="97" max="97" width="12.5" bestFit="1" customWidth="1"/>
    <col min="98" max="98" width="8.08203125" bestFit="1" customWidth="1"/>
    <col min="99" max="99" width="13.25" bestFit="1" customWidth="1"/>
    <col min="100" max="100" width="14.83203125" bestFit="1" customWidth="1"/>
    <col min="101" max="101" width="32.5" bestFit="1" customWidth="1"/>
    <col min="102" max="102" width="10.33203125" bestFit="1" customWidth="1"/>
    <col min="103" max="103" width="22.08203125" bestFit="1" customWidth="1"/>
    <col min="104" max="104" width="19.33203125" bestFit="1" customWidth="1"/>
    <col min="105" max="105" width="14.33203125" bestFit="1" customWidth="1"/>
    <col min="106" max="106" width="18.08203125" bestFit="1" customWidth="1"/>
    <col min="107" max="107" width="13.83203125" bestFit="1" customWidth="1"/>
    <col min="108" max="108" width="15.25" bestFit="1" customWidth="1"/>
    <col min="109" max="109" width="10.08203125" bestFit="1" customWidth="1"/>
    <col min="110" max="110" width="13.83203125" bestFit="1" customWidth="1"/>
    <col min="111" max="111" width="13.58203125" bestFit="1" customWidth="1"/>
    <col min="112" max="112" width="11.33203125" bestFit="1" customWidth="1"/>
    <col min="113" max="113" width="12.25" bestFit="1" customWidth="1"/>
    <col min="114" max="114" width="10.83203125" bestFit="1" customWidth="1"/>
    <col min="115" max="115" width="11.33203125" bestFit="1" customWidth="1"/>
    <col min="116" max="116" width="10" bestFit="1" customWidth="1"/>
    <col min="117" max="117" width="28.5" bestFit="1" customWidth="1"/>
    <col min="118" max="118" width="11.25" bestFit="1" customWidth="1"/>
    <col min="119" max="119" width="9.33203125" bestFit="1" customWidth="1"/>
    <col min="120" max="120" width="6.58203125" bestFit="1" customWidth="1"/>
    <col min="121" max="121" width="10.33203125" bestFit="1" customWidth="1"/>
    <col min="122" max="122" width="20.5" bestFit="1" customWidth="1"/>
    <col min="123" max="123" width="23.5" bestFit="1" customWidth="1"/>
    <col min="124" max="124" width="15.33203125" bestFit="1" customWidth="1"/>
    <col min="125" max="125" width="13.33203125" bestFit="1" customWidth="1"/>
    <col min="126" max="126" width="17.33203125" bestFit="1" customWidth="1"/>
    <col min="127" max="127" width="16.83203125" bestFit="1" customWidth="1"/>
    <col min="128" max="128" width="15.33203125" bestFit="1" customWidth="1"/>
    <col min="129" max="129" width="15.75" bestFit="1" customWidth="1"/>
    <col min="130" max="130" width="15.83203125" bestFit="1" customWidth="1"/>
    <col min="131" max="131" width="18.83203125" bestFit="1" customWidth="1"/>
    <col min="132" max="132" width="20.58203125" bestFit="1" customWidth="1"/>
    <col min="133" max="133" width="23.58203125" bestFit="1" customWidth="1"/>
    <col min="134" max="134" width="18" bestFit="1" customWidth="1"/>
    <col min="135" max="135" width="21.08203125" bestFit="1" customWidth="1"/>
    <col min="136" max="136" width="15.33203125" bestFit="1" customWidth="1"/>
    <col min="137" max="137" width="15.08203125" bestFit="1" customWidth="1"/>
    <col min="138" max="138" width="21.33203125" bestFit="1" customWidth="1"/>
    <col min="139" max="139" width="18.33203125" bestFit="1" customWidth="1"/>
    <col min="140" max="140" width="16.5" bestFit="1" customWidth="1"/>
    <col min="141" max="141" width="19.5" bestFit="1" customWidth="1"/>
    <col min="142" max="142" width="15.33203125" bestFit="1" customWidth="1"/>
    <col min="143" max="143" width="17.83203125" bestFit="1" customWidth="1"/>
    <col min="144" max="144" width="15.08203125" bestFit="1" customWidth="1"/>
    <col min="145" max="145" width="17" bestFit="1" customWidth="1"/>
    <col min="146" max="146" width="16.33203125" bestFit="1" customWidth="1"/>
    <col min="147" max="147" width="19.33203125" bestFit="1" customWidth="1"/>
    <col min="148" max="148" width="16.25" bestFit="1" customWidth="1"/>
    <col min="149" max="149" width="19.25" bestFit="1" customWidth="1"/>
    <col min="150" max="150" width="15.33203125" bestFit="1" customWidth="1"/>
    <col min="151" max="151" width="13.75" bestFit="1" customWidth="1"/>
    <col min="152" max="152" width="21.33203125" bestFit="1" customWidth="1"/>
    <col min="153" max="153" width="19.58203125" bestFit="1" customWidth="1"/>
    <col min="154" max="154" width="19.5" bestFit="1" customWidth="1"/>
    <col min="155" max="155" width="22.5" bestFit="1" customWidth="1"/>
    <col min="156" max="156" width="15.33203125" bestFit="1" customWidth="1"/>
    <col min="157" max="157" width="14.25" bestFit="1" customWidth="1"/>
    <col min="158" max="158" width="17.33203125" bestFit="1" customWidth="1"/>
    <col min="159" max="159" width="18" bestFit="1" customWidth="1"/>
    <col min="160" max="160" width="15.08203125" bestFit="1" customWidth="1"/>
    <col min="161" max="161" width="15.58203125" bestFit="1" customWidth="1"/>
    <col min="162" max="162" width="15.33203125" bestFit="1" customWidth="1"/>
    <col min="163" max="163" width="18.25" bestFit="1" customWidth="1"/>
    <col min="164" max="164" width="15.33203125" bestFit="1" customWidth="1"/>
    <col min="165" max="165" width="17.33203125" bestFit="1" customWidth="1"/>
    <col min="166" max="166" width="15.33203125" bestFit="1" customWidth="1"/>
    <col min="167" max="167" width="15.25" bestFit="1" customWidth="1"/>
    <col min="168" max="168" width="21.5" bestFit="1" customWidth="1"/>
    <col min="169" max="169" width="16.33203125" bestFit="1" customWidth="1"/>
    <col min="170" max="170" width="23.33203125" bestFit="1" customWidth="1"/>
    <col min="171" max="171" width="26.5" bestFit="1" customWidth="1"/>
    <col min="172" max="172" width="17.33203125" bestFit="1" customWidth="1"/>
    <col min="173" max="173" width="12.58203125" bestFit="1" customWidth="1"/>
    <col min="174" max="174" width="15.33203125" bestFit="1" customWidth="1"/>
    <col min="175" max="175" width="15.83203125" bestFit="1" customWidth="1"/>
    <col min="176" max="176" width="17.08203125" bestFit="1" customWidth="1"/>
    <col min="177" max="177" width="20.08203125" bestFit="1" customWidth="1"/>
    <col min="178" max="178" width="15.33203125" bestFit="1" customWidth="1"/>
    <col min="179" max="179" width="12" bestFit="1" customWidth="1"/>
    <col min="180" max="180" width="17.33203125" bestFit="1" customWidth="1"/>
    <col min="181" max="181" width="18" bestFit="1" customWidth="1"/>
    <col min="182" max="182" width="21.5" bestFit="1" customWidth="1"/>
    <col min="183" max="183" width="17.75" bestFit="1" customWidth="1"/>
    <col min="184" max="184" width="17.33203125" bestFit="1" customWidth="1"/>
    <col min="185" max="185" width="18.5" bestFit="1" customWidth="1"/>
    <col min="186" max="186" width="15.33203125" bestFit="1" customWidth="1"/>
    <col min="187" max="187" width="17.08203125" bestFit="1" customWidth="1"/>
    <col min="188" max="188" width="15.33203125" bestFit="1" customWidth="1"/>
    <col min="189" max="189" width="17.08203125" bestFit="1" customWidth="1"/>
    <col min="190" max="190" width="15.33203125" bestFit="1" customWidth="1"/>
    <col min="191" max="191" width="12.58203125" bestFit="1" customWidth="1"/>
    <col min="192" max="192" width="14.83203125" bestFit="1" customWidth="1"/>
    <col min="193" max="193" width="17.83203125" bestFit="1" customWidth="1"/>
    <col min="194" max="194" width="16.33203125" bestFit="1" customWidth="1"/>
    <col min="195" max="195" width="19.33203125" bestFit="1" customWidth="1"/>
    <col min="196" max="196" width="33.83203125" bestFit="1" customWidth="1"/>
    <col min="197" max="197" width="37" bestFit="1" customWidth="1"/>
    <col min="198" max="198" width="15.33203125" bestFit="1" customWidth="1"/>
    <col min="199" max="199" width="15" bestFit="1" customWidth="1"/>
    <col min="200" max="200" width="23.75" bestFit="1" customWidth="1"/>
    <col min="201" max="201" width="26.75" bestFit="1" customWidth="1"/>
    <col min="202" max="202" width="21" bestFit="1" customWidth="1"/>
    <col min="203" max="203" width="24" bestFit="1" customWidth="1"/>
    <col min="204" max="204" width="15.83203125" bestFit="1" customWidth="1"/>
    <col min="205" max="205" width="18.83203125" bestFit="1" customWidth="1"/>
    <col min="206" max="206" width="19.75" bestFit="1" customWidth="1"/>
    <col min="207" max="207" width="22.75" bestFit="1" customWidth="1"/>
    <col min="208" max="208" width="15.5" bestFit="1" customWidth="1"/>
    <col min="209" max="209" width="18.5" bestFit="1" customWidth="1"/>
    <col min="210" max="210" width="16.75" bestFit="1" customWidth="1"/>
    <col min="211" max="211" width="19.75" bestFit="1" customWidth="1"/>
    <col min="212" max="212" width="15.33203125" bestFit="1" customWidth="1"/>
    <col min="213" max="213" width="14.58203125" bestFit="1" customWidth="1"/>
    <col min="214" max="214" width="15.5" bestFit="1" customWidth="1"/>
    <col min="215" max="215" width="18.5" bestFit="1" customWidth="1"/>
    <col min="216" max="216" width="15.33203125" bestFit="1" customWidth="1"/>
    <col min="217" max="217" width="18.08203125" bestFit="1" customWidth="1"/>
    <col min="218" max="218" width="15.33203125" bestFit="1" customWidth="1"/>
    <col min="219" max="219" width="15.83203125" bestFit="1" customWidth="1"/>
    <col min="220" max="220" width="15.33203125" bestFit="1" customWidth="1"/>
    <col min="221" max="221" width="16.83203125" bestFit="1" customWidth="1"/>
    <col min="222" max="222" width="21.33203125" bestFit="1" customWidth="1"/>
    <col min="223" max="223" width="15.5" bestFit="1" customWidth="1"/>
    <col min="224" max="224" width="21.5" bestFit="1" customWidth="1"/>
    <col min="225" max="225" width="15.83203125" bestFit="1" customWidth="1"/>
    <col min="226" max="226" width="14.08203125" bestFit="1" customWidth="1"/>
    <col min="227" max="227" width="14.58203125" bestFit="1" customWidth="1"/>
    <col min="228" max="228" width="30.08203125" bestFit="1" customWidth="1"/>
    <col min="229" max="229" width="33.08203125" bestFit="1" customWidth="1"/>
    <col min="230" max="230" width="21.5" bestFit="1" customWidth="1"/>
    <col min="231" max="231" width="15.75" bestFit="1" customWidth="1"/>
    <col min="232" max="232" width="14.08203125" bestFit="1" customWidth="1"/>
    <col min="233" max="233" width="13.83203125" bestFit="1" customWidth="1"/>
    <col min="234" max="234" width="8.25" bestFit="1" customWidth="1"/>
    <col min="235" max="235" width="11.08203125" bestFit="1" customWidth="1"/>
    <col min="236" max="236" width="10.33203125" bestFit="1" customWidth="1"/>
  </cols>
  <sheetData>
    <row r="3" spans="1:6">
      <c r="A3" s="26" t="s">
        <v>375</v>
      </c>
      <c r="B3" t="s">
        <v>376</v>
      </c>
      <c r="D3" s="26" t="s">
        <v>376</v>
      </c>
    </row>
    <row r="4" spans="1:6">
      <c r="A4" s="27" t="s">
        <v>26</v>
      </c>
      <c r="B4">
        <v>45</v>
      </c>
      <c r="D4" s="26" t="s">
        <v>7</v>
      </c>
      <c r="E4" s="26" t="s">
        <v>43</v>
      </c>
      <c r="F4" t="s">
        <v>377</v>
      </c>
    </row>
    <row r="5" spans="1:6">
      <c r="A5" s="27" t="s">
        <v>19</v>
      </c>
      <c r="B5">
        <v>2</v>
      </c>
      <c r="D5" t="s">
        <v>26</v>
      </c>
      <c r="E5" t="s">
        <v>73</v>
      </c>
      <c r="F5">
        <v>1</v>
      </c>
    </row>
    <row r="6" spans="1:6">
      <c r="A6" s="27" t="s">
        <v>37</v>
      </c>
      <c r="B6">
        <v>10</v>
      </c>
      <c r="E6" t="s">
        <v>104</v>
      </c>
      <c r="F6">
        <v>1</v>
      </c>
    </row>
    <row r="7" spans="1:6">
      <c r="A7" s="27" t="s">
        <v>29</v>
      </c>
      <c r="B7">
        <v>7</v>
      </c>
      <c r="E7" t="s">
        <v>110</v>
      </c>
      <c r="F7">
        <v>1</v>
      </c>
    </row>
    <row r="8" spans="1:6">
      <c r="A8" s="27" t="s">
        <v>15</v>
      </c>
      <c r="B8">
        <v>3</v>
      </c>
      <c r="E8" t="s">
        <v>121</v>
      </c>
      <c r="F8">
        <v>1</v>
      </c>
    </row>
    <row r="9" spans="1:6">
      <c r="A9" s="27" t="s">
        <v>40</v>
      </c>
      <c r="B9">
        <v>15</v>
      </c>
      <c r="E9" t="s">
        <v>127</v>
      </c>
      <c r="F9">
        <v>1</v>
      </c>
    </row>
    <row r="10" spans="1:6">
      <c r="A10" s="27" t="s">
        <v>11</v>
      </c>
      <c r="B10">
        <v>3</v>
      </c>
      <c r="E10" t="s">
        <v>135</v>
      </c>
      <c r="F10">
        <v>1</v>
      </c>
    </row>
    <row r="11" spans="1:6">
      <c r="A11" s="27" t="s">
        <v>378</v>
      </c>
      <c r="E11" t="s">
        <v>141</v>
      </c>
      <c r="F11">
        <v>1</v>
      </c>
    </row>
    <row r="12" spans="1:6">
      <c r="A12" s="27" t="s">
        <v>22</v>
      </c>
      <c r="B12">
        <v>5</v>
      </c>
      <c r="E12" t="s">
        <v>149</v>
      </c>
      <c r="F12">
        <v>1</v>
      </c>
    </row>
    <row r="13" spans="1:6">
      <c r="A13" s="27"/>
      <c r="B13">
        <v>2</v>
      </c>
      <c r="E13" t="s">
        <v>176</v>
      </c>
      <c r="F13">
        <v>1</v>
      </c>
    </row>
    <row r="14" spans="1:6">
      <c r="A14" s="27" t="s">
        <v>379</v>
      </c>
      <c r="B14">
        <v>92</v>
      </c>
      <c r="E14" t="s">
        <v>197</v>
      </c>
      <c r="F14">
        <v>1</v>
      </c>
    </row>
    <row r="15" spans="1:6">
      <c r="E15" t="s">
        <v>201</v>
      </c>
      <c r="F15">
        <v>1</v>
      </c>
    </row>
    <row r="16" spans="1:6">
      <c r="E16" t="s">
        <v>205</v>
      </c>
      <c r="F16">
        <v>1</v>
      </c>
    </row>
    <row r="17" spans="5:6">
      <c r="E17" t="s">
        <v>212</v>
      </c>
      <c r="F17">
        <v>1</v>
      </c>
    </row>
    <row r="18" spans="5:6">
      <c r="E18" t="s">
        <v>218</v>
      </c>
      <c r="F18">
        <v>1</v>
      </c>
    </row>
    <row r="19" spans="5:6">
      <c r="E19" t="s">
        <v>231</v>
      </c>
      <c r="F19">
        <v>1</v>
      </c>
    </row>
    <row r="20" spans="5:6">
      <c r="E20" t="s">
        <v>239</v>
      </c>
      <c r="F20">
        <v>1</v>
      </c>
    </row>
    <row r="21" spans="5:6">
      <c r="E21" t="s">
        <v>245</v>
      </c>
      <c r="F21">
        <v>1</v>
      </c>
    </row>
    <row r="22" spans="5:6">
      <c r="E22" t="s">
        <v>247</v>
      </c>
      <c r="F22">
        <v>1</v>
      </c>
    </row>
    <row r="23" spans="5:6">
      <c r="E23" t="s">
        <v>254</v>
      </c>
      <c r="F23">
        <v>1</v>
      </c>
    </row>
    <row r="24" spans="5:6">
      <c r="E24" t="s">
        <v>257</v>
      </c>
      <c r="F24">
        <v>1</v>
      </c>
    </row>
    <row r="25" spans="5:6">
      <c r="E25" t="s">
        <v>269</v>
      </c>
      <c r="F25">
        <v>1</v>
      </c>
    </row>
    <row r="26" spans="5:6">
      <c r="E26" t="s">
        <v>271</v>
      </c>
      <c r="F26">
        <v>1</v>
      </c>
    </row>
    <row r="27" spans="5:6">
      <c r="E27" t="s">
        <v>283</v>
      </c>
      <c r="F27">
        <v>1</v>
      </c>
    </row>
    <row r="28" spans="5:6">
      <c r="E28" t="s">
        <v>287</v>
      </c>
      <c r="F28">
        <v>1</v>
      </c>
    </row>
    <row r="29" spans="5:6">
      <c r="E29" t="s">
        <v>289</v>
      </c>
      <c r="F29">
        <v>1</v>
      </c>
    </row>
    <row r="30" spans="5:6">
      <c r="E30" t="s">
        <v>293</v>
      </c>
      <c r="F30">
        <v>1</v>
      </c>
    </row>
    <row r="31" spans="5:6">
      <c r="E31" t="s">
        <v>295</v>
      </c>
      <c r="F31">
        <v>1</v>
      </c>
    </row>
    <row r="32" spans="5:6">
      <c r="E32" t="s">
        <v>297</v>
      </c>
      <c r="F32">
        <v>1</v>
      </c>
    </row>
    <row r="33" spans="5:6">
      <c r="E33" t="s">
        <v>298</v>
      </c>
      <c r="F33">
        <v>1</v>
      </c>
    </row>
    <row r="34" spans="5:6">
      <c r="E34" t="s">
        <v>301</v>
      </c>
      <c r="F34">
        <v>1</v>
      </c>
    </row>
    <row r="35" spans="5:6">
      <c r="E35" t="s">
        <v>305</v>
      </c>
      <c r="F35">
        <v>1</v>
      </c>
    </row>
    <row r="36" spans="5:6">
      <c r="E36" t="s">
        <v>307</v>
      </c>
      <c r="F36">
        <v>1</v>
      </c>
    </row>
    <row r="37" spans="5:6">
      <c r="E37" t="s">
        <v>319</v>
      </c>
      <c r="F37">
        <v>1</v>
      </c>
    </row>
    <row r="38" spans="5:6">
      <c r="E38" t="s">
        <v>321</v>
      </c>
      <c r="F38">
        <v>1</v>
      </c>
    </row>
    <row r="39" spans="5:6">
      <c r="E39" t="s">
        <v>326</v>
      </c>
      <c r="F39">
        <v>1</v>
      </c>
    </row>
    <row r="40" spans="5:6">
      <c r="E40" t="s">
        <v>334</v>
      </c>
      <c r="F40">
        <v>1</v>
      </c>
    </row>
    <row r="41" spans="5:6">
      <c r="E41" t="s">
        <v>338</v>
      </c>
      <c r="F41">
        <v>1</v>
      </c>
    </row>
    <row r="42" spans="5:6">
      <c r="E42" t="s">
        <v>341</v>
      </c>
      <c r="F42">
        <v>1</v>
      </c>
    </row>
    <row r="43" spans="5:6">
      <c r="E43" t="s">
        <v>344</v>
      </c>
      <c r="F43">
        <v>1</v>
      </c>
    </row>
    <row r="44" spans="5:6">
      <c r="E44" t="s">
        <v>345</v>
      </c>
      <c r="F44">
        <v>1</v>
      </c>
    </row>
    <row r="45" spans="5:6">
      <c r="E45" t="s">
        <v>350</v>
      </c>
      <c r="F45">
        <v>1</v>
      </c>
    </row>
    <row r="46" spans="5:6">
      <c r="E46" t="s">
        <v>359</v>
      </c>
      <c r="F46">
        <v>1</v>
      </c>
    </row>
    <row r="47" spans="5:6">
      <c r="E47" t="s">
        <v>361</v>
      </c>
      <c r="F47">
        <v>1</v>
      </c>
    </row>
    <row r="48" spans="5:6">
      <c r="E48" t="s">
        <v>364</v>
      </c>
      <c r="F48">
        <v>1</v>
      </c>
    </row>
    <row r="49" spans="4:6">
      <c r="E49" t="s">
        <v>365</v>
      </c>
      <c r="F49">
        <v>1</v>
      </c>
    </row>
    <row r="50" spans="4:6">
      <c r="D50" t="s">
        <v>380</v>
      </c>
      <c r="F50">
        <v>45</v>
      </c>
    </row>
    <row r="51" spans="4:6">
      <c r="D51" t="s">
        <v>19</v>
      </c>
      <c r="E51" t="s">
        <v>188</v>
      </c>
      <c r="F51">
        <v>1</v>
      </c>
    </row>
    <row r="52" spans="4:6">
      <c r="E52" t="s">
        <v>363</v>
      </c>
      <c r="F52">
        <v>1</v>
      </c>
    </row>
    <row r="53" spans="4:6">
      <c r="D53" t="s">
        <v>381</v>
      </c>
      <c r="F53">
        <v>2</v>
      </c>
    </row>
    <row r="54" spans="4:6">
      <c r="D54" t="s">
        <v>37</v>
      </c>
      <c r="E54" t="s">
        <v>83</v>
      </c>
      <c r="F54">
        <v>1</v>
      </c>
    </row>
    <row r="55" spans="4:6">
      <c r="E55" t="s">
        <v>178</v>
      </c>
      <c r="F55">
        <v>1</v>
      </c>
    </row>
    <row r="56" spans="4:6">
      <c r="E56" t="s">
        <v>183</v>
      </c>
      <c r="F56">
        <v>1</v>
      </c>
    </row>
    <row r="57" spans="4:6">
      <c r="E57" t="s">
        <v>208</v>
      </c>
      <c r="F57">
        <v>1</v>
      </c>
    </row>
    <row r="58" spans="4:6">
      <c r="E58" t="s">
        <v>242</v>
      </c>
      <c r="F58">
        <v>1</v>
      </c>
    </row>
    <row r="59" spans="4:6">
      <c r="E59" t="s">
        <v>263</v>
      </c>
      <c r="F59">
        <v>1</v>
      </c>
    </row>
    <row r="60" spans="4:6">
      <c r="E60" t="s">
        <v>313</v>
      </c>
      <c r="F60">
        <v>1</v>
      </c>
    </row>
    <row r="61" spans="4:6">
      <c r="E61" t="s">
        <v>316</v>
      </c>
      <c r="F61">
        <v>1</v>
      </c>
    </row>
    <row r="62" spans="4:6">
      <c r="E62" t="s">
        <v>324</v>
      </c>
      <c r="F62">
        <v>1</v>
      </c>
    </row>
    <row r="63" spans="4:6">
      <c r="E63" t="s">
        <v>330</v>
      </c>
      <c r="F63">
        <v>1</v>
      </c>
    </row>
    <row r="64" spans="4:6">
      <c r="D64" t="s">
        <v>382</v>
      </c>
      <c r="F64">
        <v>10</v>
      </c>
    </row>
    <row r="65" spans="4:6">
      <c r="D65" t="s">
        <v>29</v>
      </c>
      <c r="E65" t="s">
        <v>93</v>
      </c>
      <c r="F65">
        <v>1</v>
      </c>
    </row>
    <row r="66" spans="4:6">
      <c r="E66" t="s">
        <v>195</v>
      </c>
      <c r="F66">
        <v>1</v>
      </c>
    </row>
    <row r="67" spans="4:6">
      <c r="E67" t="s">
        <v>226</v>
      </c>
      <c r="F67">
        <v>1</v>
      </c>
    </row>
    <row r="68" spans="4:6">
      <c r="E68" t="s">
        <v>299</v>
      </c>
      <c r="F68">
        <v>1</v>
      </c>
    </row>
    <row r="69" spans="4:6">
      <c r="E69" t="s">
        <v>312</v>
      </c>
      <c r="F69">
        <v>1</v>
      </c>
    </row>
    <row r="70" spans="4:6">
      <c r="E70" t="s">
        <v>322</v>
      </c>
      <c r="F70">
        <v>1</v>
      </c>
    </row>
    <row r="71" spans="4:6">
      <c r="E71" t="s">
        <v>355</v>
      </c>
      <c r="F71">
        <v>1</v>
      </c>
    </row>
    <row r="72" spans="4:6">
      <c r="D72" t="s">
        <v>383</v>
      </c>
      <c r="F72">
        <v>7</v>
      </c>
    </row>
    <row r="73" spans="4:6">
      <c r="D73" t="s">
        <v>15</v>
      </c>
      <c r="E73" t="s">
        <v>166</v>
      </c>
      <c r="F73">
        <v>1</v>
      </c>
    </row>
    <row r="74" spans="4:6">
      <c r="E74" t="s">
        <v>273</v>
      </c>
      <c r="F74">
        <v>1</v>
      </c>
    </row>
    <row r="75" spans="4:6">
      <c r="E75" t="s">
        <v>348</v>
      </c>
      <c r="F75">
        <v>1</v>
      </c>
    </row>
    <row r="76" spans="4:6">
      <c r="D76" t="s">
        <v>384</v>
      </c>
      <c r="F76">
        <v>3</v>
      </c>
    </row>
    <row r="77" spans="4:6">
      <c r="D77" t="s">
        <v>40</v>
      </c>
      <c r="E77" t="s">
        <v>62</v>
      </c>
      <c r="F77">
        <v>1</v>
      </c>
    </row>
    <row r="78" spans="4:6">
      <c r="E78" t="s">
        <v>129</v>
      </c>
      <c r="F78">
        <v>1</v>
      </c>
    </row>
    <row r="79" spans="4:6">
      <c r="E79" t="s">
        <v>153</v>
      </c>
      <c r="F79">
        <v>1</v>
      </c>
    </row>
    <row r="80" spans="4:6">
      <c r="E80" t="s">
        <v>158</v>
      </c>
      <c r="F80">
        <v>1</v>
      </c>
    </row>
    <row r="81" spans="4:6">
      <c r="E81" t="s">
        <v>161</v>
      </c>
      <c r="F81">
        <v>1</v>
      </c>
    </row>
    <row r="82" spans="4:6">
      <c r="E82" t="s">
        <v>169</v>
      </c>
      <c r="F82">
        <v>1</v>
      </c>
    </row>
    <row r="83" spans="4:6">
      <c r="E83" t="s">
        <v>172</v>
      </c>
      <c r="F83">
        <v>1</v>
      </c>
    </row>
    <row r="84" spans="4:6">
      <c r="E84" t="s">
        <v>193</v>
      </c>
      <c r="F84">
        <v>1</v>
      </c>
    </row>
    <row r="85" spans="4:6">
      <c r="E85" t="s">
        <v>214</v>
      </c>
      <c r="F85">
        <v>1</v>
      </c>
    </row>
    <row r="86" spans="4:6">
      <c r="E86" t="s">
        <v>220</v>
      </c>
      <c r="F86">
        <v>1</v>
      </c>
    </row>
    <row r="87" spans="4:6">
      <c r="E87" t="s">
        <v>235</v>
      </c>
      <c r="F87">
        <v>1</v>
      </c>
    </row>
    <row r="88" spans="4:6">
      <c r="E88" t="s">
        <v>259</v>
      </c>
      <c r="F88">
        <v>1</v>
      </c>
    </row>
    <row r="89" spans="4:6">
      <c r="E89" t="s">
        <v>266</v>
      </c>
      <c r="F89">
        <v>1</v>
      </c>
    </row>
    <row r="90" spans="4:6">
      <c r="E90" t="s">
        <v>327</v>
      </c>
      <c r="F90">
        <v>1</v>
      </c>
    </row>
    <row r="91" spans="4:6">
      <c r="E91" t="s">
        <v>340</v>
      </c>
      <c r="F91">
        <v>1</v>
      </c>
    </row>
    <row r="92" spans="4:6">
      <c r="D92" t="s">
        <v>385</v>
      </c>
      <c r="F92">
        <v>15</v>
      </c>
    </row>
    <row r="93" spans="4:6">
      <c r="D93" t="s">
        <v>11</v>
      </c>
      <c r="E93" t="s">
        <v>114</v>
      </c>
      <c r="F93">
        <v>1</v>
      </c>
    </row>
    <row r="94" spans="4:6">
      <c r="E94" t="s">
        <v>146</v>
      </c>
      <c r="F94">
        <v>1</v>
      </c>
    </row>
    <row r="95" spans="4:6">
      <c r="E95" t="s">
        <v>251</v>
      </c>
      <c r="F95">
        <v>1</v>
      </c>
    </row>
    <row r="96" spans="4:6">
      <c r="D96" t="s">
        <v>386</v>
      </c>
      <c r="F96">
        <v>3</v>
      </c>
    </row>
    <row r="97" spans="4:6">
      <c r="D97" t="s">
        <v>378</v>
      </c>
      <c r="E97" t="s">
        <v>378</v>
      </c>
    </row>
    <row r="98" spans="4:6">
      <c r="D98" t="s">
        <v>387</v>
      </c>
    </row>
    <row r="99" spans="4:6">
      <c r="D99" t="s">
        <v>22</v>
      </c>
      <c r="E99" t="s">
        <v>99</v>
      </c>
      <c r="F99">
        <v>1</v>
      </c>
    </row>
    <row r="100" spans="4:6">
      <c r="E100" t="s">
        <v>388</v>
      </c>
      <c r="F100">
        <v>1</v>
      </c>
    </row>
    <row r="101" spans="4:6">
      <c r="E101" t="s">
        <v>277</v>
      </c>
      <c r="F101">
        <v>1</v>
      </c>
    </row>
    <row r="102" spans="4:6">
      <c r="E102" t="s">
        <v>281</v>
      </c>
      <c r="F102">
        <v>1</v>
      </c>
    </row>
    <row r="103" spans="4:6">
      <c r="E103" t="s">
        <v>292</v>
      </c>
      <c r="F103">
        <v>1</v>
      </c>
    </row>
    <row r="104" spans="4:6">
      <c r="D104" t="s">
        <v>389</v>
      </c>
      <c r="F104">
        <v>5</v>
      </c>
    </row>
    <row r="105" spans="4:6">
      <c r="D105" t="s">
        <v>390</v>
      </c>
      <c r="E105" t="s">
        <v>352</v>
      </c>
      <c r="F105">
        <v>1</v>
      </c>
    </row>
    <row r="106" spans="4:6">
      <c r="E106" t="s">
        <v>356</v>
      </c>
      <c r="F106">
        <v>1</v>
      </c>
    </row>
    <row r="107" spans="4:6">
      <c r="D107" t="s">
        <v>391</v>
      </c>
      <c r="F107">
        <v>2</v>
      </c>
    </row>
    <row r="108" spans="4:6">
      <c r="D108" t="s">
        <v>379</v>
      </c>
      <c r="F108">
        <v>92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53991C-1C6B-4B1F-A70A-9522EB1B2C6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Definitions &amp; Instructions</vt:lpstr>
      <vt:lpstr>PUX ICs</vt:lpstr>
      <vt:lpstr>Excel Table (Do Not Format)</vt:lpstr>
      <vt:lpstr>Pivot</vt:lpstr>
      <vt:lpstr>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Piya Kishore</dc:creator>
  <cp:keywords/>
  <dc:description/>
  <cp:lastModifiedBy>Ben Canning</cp:lastModifiedBy>
  <cp:revision/>
  <dcterms:created xsi:type="dcterms:W3CDTF">2025-11-02T00:46:47Z</dcterms:created>
  <dcterms:modified xsi:type="dcterms:W3CDTF">2025-12-02T19:11:23Z</dcterms:modified>
  <cp:category/>
  <cp:contentStatus/>
</cp:coreProperties>
</file>